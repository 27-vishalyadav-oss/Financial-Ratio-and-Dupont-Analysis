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FIIB\FRA\assignment\to be submitted\"/>
    </mc:Choice>
  </mc:AlternateContent>
  <xr:revisionPtr revIDLastSave="0" documentId="13_ncr:1_{186EBC08-BFB5-49D4-A78D-F0C76BC7C9CA}" xr6:coauthVersionLast="47" xr6:coauthVersionMax="47" xr10:uidLastSave="{00000000-0000-0000-0000-000000000000}"/>
  <bookViews>
    <workbookView xWindow="-108" yWindow="-108" windowWidth="23256" windowHeight="12456" firstSheet="3" activeTab="4" xr2:uid="{3B5280FA-4810-4FE0-8404-B6E6F6BC4475}"/>
  </bookViews>
  <sheets>
    <sheet name="Raw Data" sheetId="1" r:id="rId1"/>
    <sheet name="Solvency ratio" sheetId="6" r:id="rId2"/>
    <sheet name="Liquidity ratio" sheetId="7" r:id="rId3"/>
    <sheet name="Efficiency ratio" sheetId="8" r:id="rId4"/>
    <sheet name="Dashboard" sheetId="10" r:id="rId5"/>
    <sheet name="Profitability ratio" sheetId="9" r:id="rId6"/>
    <sheet name="Clean Data " sheetId="3" r:id="rId7"/>
    <sheet name="Dupont ratio" sheetId="13" r:id="rId8"/>
    <sheet name="Dupont" sheetId="12" r:id="rId9"/>
    <sheet name="Dupont Dashboard" sheetId="14" r:id="rId10"/>
  </sheets>
  <definedNames>
    <definedName name="Slicer_Current_Ratio">#N/A</definedName>
    <definedName name="Slicer_Year">#N/A</definedName>
    <definedName name="Slicer_Year1">#N/A</definedName>
  </definedNames>
  <calcPr calcId="191029"/>
  <pivotCaches>
    <pivotCache cacheId="3" r:id="rId11"/>
    <pivotCache cacheId="4"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58A229-4EC6-41AB-A676-CEDECB308ABC}" keepAlive="1" name="Query - DUPONT" description="Connection to the 'DUPONT' query in the workbook." type="5" refreshedVersion="8" background="1" saveData="1">
    <dbPr connection="Provider=Microsoft.Mashup.OleDb.1;Data Source=$Workbook$;Location=DUPONT;Extended Properties=&quot;&quot;" command="SELECT * FROM [DUPONT]"/>
  </connection>
  <connection id="2" xr16:uid="{5EEE4333-BB12-485E-8E71-1BAEAC48A031}" keepAlive="1" name="Query - KPR" description="Connection to the 'KPR' query in the workbook." type="5" refreshedVersion="8" background="1" saveData="1">
    <dbPr connection="Provider=Microsoft.Mashup.OleDb.1;Data Source=$Workbook$;Location=KPR;Extended Properties=&quot;&quot;" command="SELECT * FROM [KPR]"/>
  </connection>
</connections>
</file>

<file path=xl/sharedStrings.xml><?xml version="1.0" encoding="utf-8"?>
<sst xmlns="http://schemas.openxmlformats.org/spreadsheetml/2006/main" count="138" uniqueCount="54">
  <si>
    <t>Ratio</t>
  </si>
  <si>
    <t>Category</t>
  </si>
  <si>
    <t>Mar-25</t>
  </si>
  <si>
    <t>Mar-24</t>
  </si>
  <si>
    <t>Mar-23</t>
  </si>
  <si>
    <t>Mar-22</t>
  </si>
  <si>
    <t>Mar-21</t>
  </si>
  <si>
    <t>Solvency Ratio</t>
  </si>
  <si>
    <t>Debt-Equity Ratio</t>
  </si>
  <si>
    <t>Long Term Debt-Equity Ratio</t>
  </si>
  <si>
    <t>Interest Cover Ratio</t>
  </si>
  <si>
    <t>Liquidity Ratio</t>
  </si>
  <si>
    <t>Current Ratio</t>
  </si>
  <si>
    <t>Efficiency Ratio</t>
  </si>
  <si>
    <t>Fixed Assets Turnover Ratio</t>
  </si>
  <si>
    <t>Inventory Turnover Ratio</t>
  </si>
  <si>
    <t>Debtors Turnover Ratio</t>
  </si>
  <si>
    <t>Total Asset Turnover Ratio</t>
  </si>
  <si>
    <t>Profitability Ratio</t>
  </si>
  <si>
    <t>PBIDTM (%)</t>
  </si>
  <si>
    <t>PBITM (%)</t>
  </si>
  <si>
    <t>PBDTM (%)</t>
  </si>
  <si>
    <t>APATM (%)</t>
  </si>
  <si>
    <t>ROCE (%)</t>
  </si>
  <si>
    <t>RONW (%)</t>
  </si>
  <si>
    <t>Year</t>
  </si>
  <si>
    <t>Row Labels</t>
  </si>
  <si>
    <t>Grand Total</t>
  </si>
  <si>
    <t>PBIDTM</t>
  </si>
  <si>
    <t>PBITM</t>
  </si>
  <si>
    <t>PBDTM</t>
  </si>
  <si>
    <t>APATM</t>
  </si>
  <si>
    <t xml:space="preserve"> ROCE</t>
  </si>
  <si>
    <t>RONW</t>
  </si>
  <si>
    <t>NP / PBT (X)</t>
  </si>
  <si>
    <t>PBT / EBIT (X)</t>
  </si>
  <si>
    <t>EBIT / Sales (X)</t>
  </si>
  <si>
    <t>Sales / Assets (X)</t>
  </si>
  <si>
    <t>Assets / Equity (X)</t>
  </si>
  <si>
    <t>ROE (X)</t>
  </si>
  <si>
    <t>Total Asset Turnover Ratio.</t>
  </si>
  <si>
    <t>Fixed Assets Turnover Ratio.</t>
  </si>
  <si>
    <t>Debtors Turnover Ratio.</t>
  </si>
  <si>
    <t>Inventory Turnover Ratio.</t>
  </si>
  <si>
    <t>Current Ratio.</t>
  </si>
  <si>
    <t>Debt-Equity Ratio.</t>
  </si>
  <si>
    <t>Long Term Debt-Equity Ratio.</t>
  </si>
  <si>
    <t>Interest Cover Ratio.</t>
  </si>
  <si>
    <t xml:space="preserve"> NP / PBT (X).</t>
  </si>
  <si>
    <t>PBT / EBIT (X).</t>
  </si>
  <si>
    <t>EBIT / Sales (X).</t>
  </si>
  <si>
    <t>Sales / Assets (X).</t>
  </si>
  <si>
    <t>Assets / Equity (X).</t>
  </si>
  <si>
    <t>ROE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</si>
</sst>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sz val="10"/>
      <color rgb="FF202020"/>
      <name val="Arial"/>
      <family val="2"/>
    </font>
  </fonts>
  <fills count="7">
    <fill>
      <patternFill patternType="none"/>
    </fill>
    <fill>
      <patternFill patternType="gray125"/>
    </fill>
    <fill>
      <patternFill patternType="solid">
        <fgColor theme="4"/>
        <bgColor indexed="64"/>
      </patternFill>
    </fill>
    <fill>
      <patternFill patternType="solid">
        <fgColor rgb="FFE5F5F5"/>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s>
  <borders count="9">
    <border>
      <left/>
      <right/>
      <top/>
      <bottom/>
      <diagonal/>
    </border>
    <border>
      <left/>
      <right/>
      <top/>
      <bottom style="medium">
        <color rgb="FFE5E5E5"/>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34">
    <xf numFmtId="0" fontId="0" fillId="0" borderId="0" xfId="0"/>
    <xf numFmtId="0" fontId="1" fillId="2" borderId="0" xfId="0" applyFont="1" applyFill="1" applyAlignment="1">
      <alignment horizontal="center"/>
    </xf>
    <xf numFmtId="0" fontId="0" fillId="2" borderId="0" xfId="0" applyFill="1"/>
    <xf numFmtId="17" fontId="0" fillId="2" borderId="0" xfId="0" applyNumberFormat="1" applyFill="1"/>
    <xf numFmtId="0" fontId="0" fillId="0" borderId="0" xfId="0" applyAlignment="1">
      <alignment horizontal="center" vertical="center"/>
    </xf>
    <xf numFmtId="0" fontId="0" fillId="0" borderId="0" xfId="0" applyAlignment="1">
      <alignment horizontal="center"/>
    </xf>
    <xf numFmtId="0" fontId="3" fillId="3" borderId="1" xfId="0" applyFont="1" applyFill="1" applyBorder="1" applyAlignment="1">
      <alignment horizontal="right" wrapText="1"/>
    </xf>
    <xf numFmtId="0" fontId="0" fillId="0" borderId="2" xfId="0" applyBorder="1"/>
    <xf numFmtId="0" fontId="0" fillId="0" borderId="3" xfId="0" applyBorder="1"/>
    <xf numFmtId="0" fontId="0" fillId="0" borderId="4" xfId="0" applyBorder="1"/>
    <xf numFmtId="0" fontId="2" fillId="4" borderId="5" xfId="0" applyFont="1" applyFill="1" applyBorder="1"/>
    <xf numFmtId="0" fontId="0" fillId="0" borderId="0" xfId="0" pivotButton="1"/>
    <xf numFmtId="0" fontId="0" fillId="0" borderId="0" xfId="0" applyAlignment="1">
      <alignment horizontal="left"/>
    </xf>
    <xf numFmtId="0" fontId="2" fillId="4" borderId="6" xfId="0" applyFont="1" applyFill="1" applyBorder="1" applyAlignment="1">
      <alignment horizontal="left"/>
    </xf>
    <xf numFmtId="17" fontId="0" fillId="0" borderId="0" xfId="0" applyNumberFormat="1" applyAlignment="1">
      <alignment horizontal="left"/>
    </xf>
    <xf numFmtId="0" fontId="2" fillId="4" borderId="6" xfId="0" applyFont="1" applyFill="1" applyBorder="1"/>
    <xf numFmtId="0" fontId="1" fillId="5" borderId="7" xfId="0" applyFont="1" applyFill="1" applyBorder="1"/>
    <xf numFmtId="17" fontId="1" fillId="5" borderId="6" xfId="0" applyNumberFormat="1" applyFont="1" applyFill="1" applyBorder="1"/>
    <xf numFmtId="17" fontId="1" fillId="5" borderId="8" xfId="0" applyNumberFormat="1" applyFont="1" applyFill="1" applyBorder="1"/>
    <xf numFmtId="0" fontId="0" fillId="4" borderId="7" xfId="0" applyFill="1" applyBorder="1"/>
    <xf numFmtId="0" fontId="0" fillId="4" borderId="6" xfId="0" applyFill="1" applyBorder="1"/>
    <xf numFmtId="0" fontId="0" fillId="4" borderId="8" xfId="0" applyFill="1" applyBorder="1"/>
    <xf numFmtId="0" fontId="0" fillId="0" borderId="7" xfId="0" applyBorder="1"/>
    <xf numFmtId="0" fontId="0" fillId="0" borderId="6" xfId="0" applyBorder="1"/>
    <xf numFmtId="0" fontId="0" fillId="0" borderId="8" xfId="0" applyBorder="1"/>
    <xf numFmtId="0" fontId="0" fillId="4" borderId="6" xfId="0" applyFill="1"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4" borderId="8" xfId="0" applyFill="1" applyBorder="1" applyAlignment="1">
      <alignment horizontal="center"/>
    </xf>
    <xf numFmtId="0" fontId="0" fillId="0" borderId="8" xfId="0" applyBorder="1" applyAlignment="1">
      <alignment horizontal="center"/>
    </xf>
    <xf numFmtId="0" fontId="0" fillId="0" borderId="4" xfId="0" applyBorder="1" applyAlignment="1">
      <alignment horizontal="center"/>
    </xf>
    <xf numFmtId="0" fontId="0" fillId="0" borderId="0" xfId="0" applyAlignment="1">
      <alignment horizontal="center" vertical="center"/>
    </xf>
    <xf numFmtId="0" fontId="0" fillId="6"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 25PGDM171.xlsx]Solvency ratio!PivotTable19</c:name>
    <c:fmtId val="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'Solvency ratio'!$B$3</c:f>
              <c:strCache>
                <c:ptCount val="1"/>
                <c:pt idx="0">
                  <c:v>Debt-Equity Ratio.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'Solvency ratio'!$A$4:$A$9</c:f>
              <c:strCache>
                <c:ptCount val="5"/>
                <c:pt idx="0">
                  <c:v>Mar-21</c:v>
                </c:pt>
                <c:pt idx="1">
                  <c:v>Mar-22</c:v>
                </c:pt>
                <c:pt idx="2">
                  <c:v>Mar-23</c:v>
                </c:pt>
                <c:pt idx="3">
                  <c:v>Mar-24</c:v>
                </c:pt>
                <c:pt idx="4">
                  <c:v>Mar-25</c:v>
                </c:pt>
              </c:strCache>
            </c:strRef>
          </c:cat>
          <c:val>
            <c:numRef>
              <c:f>'Solvency ratio'!$B$4:$B$9</c:f>
              <c:numCache>
                <c:formatCode>General</c:formatCode>
                <c:ptCount val="5"/>
                <c:pt idx="0">
                  <c:v>0.08</c:v>
                </c:pt>
                <c:pt idx="1">
                  <c:v>0.08</c:v>
                </c:pt>
                <c:pt idx="2">
                  <c:v>0.08</c:v>
                </c:pt>
                <c:pt idx="3">
                  <c:v>0.08</c:v>
                </c:pt>
                <c:pt idx="4">
                  <c:v>0.09</c:v>
                </c:pt>
              </c:numCache>
            </c:numRef>
          </c:val>
          <c:extLst>
            <c:ext xmlns:c16="http://schemas.microsoft.com/office/drawing/2014/chart" uri="{C3380CC4-5D6E-409C-BE32-E72D297353CC}">
              <c16:uniqueId val="{00000000-D8D8-409A-A5EC-516D8C7FA093}"/>
            </c:ext>
          </c:extLst>
        </c:ser>
        <c:ser>
          <c:idx val="1"/>
          <c:order val="1"/>
          <c:tx>
            <c:strRef>
              <c:f>'Solvency ratio'!$C$3</c:f>
              <c:strCache>
                <c:ptCount val="1"/>
                <c:pt idx="0">
                  <c:v>Long Term Debt-Equity Ratio.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'Solvency ratio'!$A$4:$A$9</c:f>
              <c:strCache>
                <c:ptCount val="5"/>
                <c:pt idx="0">
                  <c:v>Mar-21</c:v>
                </c:pt>
                <c:pt idx="1">
                  <c:v>Mar-22</c:v>
                </c:pt>
                <c:pt idx="2">
                  <c:v>Mar-23</c:v>
                </c:pt>
                <c:pt idx="3">
                  <c:v>Mar-24</c:v>
                </c:pt>
                <c:pt idx="4">
                  <c:v>Mar-25</c:v>
                </c:pt>
              </c:strCache>
            </c:strRef>
          </c:cat>
          <c:val>
            <c:numRef>
              <c:f>'Solvency ratio'!$C$4:$C$9</c:f>
              <c:numCache>
                <c:formatCode>General</c:formatCode>
                <c:ptCount val="5"/>
                <c:pt idx="0">
                  <c:v>7.0000000000000007E-2</c:v>
                </c:pt>
                <c:pt idx="1">
                  <c:v>7.0000000000000007E-2</c:v>
                </c:pt>
                <c:pt idx="2">
                  <c:v>0.06</c:v>
                </c:pt>
                <c:pt idx="3">
                  <c:v>7.0000000000000007E-2</c:v>
                </c:pt>
                <c:pt idx="4">
                  <c:v>0.08</c:v>
                </c:pt>
              </c:numCache>
            </c:numRef>
          </c:val>
          <c:extLst>
            <c:ext xmlns:c16="http://schemas.microsoft.com/office/drawing/2014/chart" uri="{C3380CC4-5D6E-409C-BE32-E72D297353CC}">
              <c16:uniqueId val="{00000001-D8D8-409A-A5EC-516D8C7FA093}"/>
            </c:ext>
          </c:extLst>
        </c:ser>
        <c:ser>
          <c:idx val="2"/>
          <c:order val="2"/>
          <c:tx>
            <c:strRef>
              <c:f>'Solvency ratio'!$D$3</c:f>
              <c:strCache>
                <c:ptCount val="1"/>
                <c:pt idx="0">
                  <c:v>Interest Cover Ratio.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'Solvency ratio'!$A$4:$A$9</c:f>
              <c:strCache>
                <c:ptCount val="5"/>
                <c:pt idx="0">
                  <c:v>Mar-21</c:v>
                </c:pt>
                <c:pt idx="1">
                  <c:v>Mar-22</c:v>
                </c:pt>
                <c:pt idx="2">
                  <c:v>Mar-23</c:v>
                </c:pt>
                <c:pt idx="3">
                  <c:v>Mar-24</c:v>
                </c:pt>
                <c:pt idx="4">
                  <c:v>Mar-25</c:v>
                </c:pt>
              </c:strCache>
            </c:strRef>
          </c:cat>
          <c:val>
            <c:numRef>
              <c:f>'Solvency ratio'!$D$4:$D$9</c:f>
              <c:numCache>
                <c:formatCode>General</c:formatCode>
                <c:ptCount val="5"/>
                <c:pt idx="0">
                  <c:v>77.17</c:v>
                </c:pt>
                <c:pt idx="1">
                  <c:v>103.31</c:v>
                </c:pt>
                <c:pt idx="2">
                  <c:v>75.37</c:v>
                </c:pt>
                <c:pt idx="3">
                  <c:v>86.59</c:v>
                </c:pt>
                <c:pt idx="4">
                  <c:v>90.12</c:v>
                </c:pt>
              </c:numCache>
            </c:numRef>
          </c:val>
          <c:extLst>
            <c:ext xmlns:c16="http://schemas.microsoft.com/office/drawing/2014/chart" uri="{C3380CC4-5D6E-409C-BE32-E72D297353CC}">
              <c16:uniqueId val="{00000002-D8D8-409A-A5EC-516D8C7FA093}"/>
            </c:ext>
          </c:extLst>
        </c:ser>
        <c:dLbls>
          <c:dLblPos val="outEnd"/>
          <c:showLegendKey val="0"/>
          <c:showVal val="1"/>
          <c:showCatName val="0"/>
          <c:showSerName val="0"/>
          <c:showPercent val="0"/>
          <c:showBubbleSize val="0"/>
        </c:dLbls>
        <c:gapWidth val="182"/>
        <c:axId val="198806527"/>
        <c:axId val="198799807"/>
      </c:barChart>
      <c:catAx>
        <c:axId val="19880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99807"/>
        <c:crosses val="autoZero"/>
        <c:auto val="1"/>
        <c:lblAlgn val="ctr"/>
        <c:lblOffset val="100"/>
        <c:noMultiLvlLbl val="0"/>
      </c:catAx>
      <c:valAx>
        <c:axId val="19879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 25PGDM171.xlsx]Liquidity ratio!PivotTable21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'Liquidity ratio'!$B$3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'Liquidity ratio'!$A$4:$A$9</c:f>
              <c:strCache>
                <c:ptCount val="5"/>
                <c:pt idx="0">
                  <c:v>Mar-21</c:v>
                </c:pt>
                <c:pt idx="1">
                  <c:v>Mar-22</c:v>
                </c:pt>
                <c:pt idx="2">
                  <c:v>Mar-23</c:v>
                </c:pt>
                <c:pt idx="3">
                  <c:v>Mar-24</c:v>
                </c:pt>
                <c:pt idx="4">
                  <c:v>Mar-25</c:v>
                </c:pt>
              </c:strCache>
            </c:strRef>
          </c:cat>
          <c:val>
            <c:numRef>
              <c:f>'Liquidity ratio'!$B$4:$B$9</c:f>
              <c:numCache>
                <c:formatCode>General</c:formatCode>
                <c:ptCount val="5"/>
                <c:pt idx="0">
                  <c:v>2.11</c:v>
                </c:pt>
                <c:pt idx="1">
                  <c:v>1.87</c:v>
                </c:pt>
                <c:pt idx="2">
                  <c:v>1.63</c:v>
                </c:pt>
                <c:pt idx="3">
                  <c:v>1.52</c:v>
                </c:pt>
                <c:pt idx="4">
                  <c:v>1.55</c:v>
                </c:pt>
              </c:numCache>
            </c:numRef>
          </c:val>
          <c:smooth val="0"/>
          <c:extLst>
            <c:ext xmlns:c16="http://schemas.microsoft.com/office/drawing/2014/chart" uri="{C3380CC4-5D6E-409C-BE32-E72D297353CC}">
              <c16:uniqueId val="{00000000-B417-472B-B6C4-658DAF55BD92}"/>
            </c:ext>
          </c:extLst>
        </c:ser>
        <c:dLbls>
          <c:dLblPos val="t"/>
          <c:showLegendKey val="0"/>
          <c:showVal val="1"/>
          <c:showCatName val="0"/>
          <c:showSerName val="0"/>
          <c:showPercent val="0"/>
          <c:showBubbleSize val="0"/>
        </c:dLbls>
        <c:marker val="1"/>
        <c:smooth val="0"/>
        <c:axId val="21854943"/>
        <c:axId val="21872223"/>
      </c:lineChart>
      <c:catAx>
        <c:axId val="2185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2223"/>
        <c:crosses val="autoZero"/>
        <c:auto val="1"/>
        <c:lblAlgn val="ctr"/>
        <c:lblOffset val="100"/>
        <c:noMultiLvlLbl val="0"/>
      </c:catAx>
      <c:valAx>
        <c:axId val="2187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5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 25PGDM171.xlsx]Efficiency ratio!PivotTable22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'Efficiency ratio'!$B$3</c:f>
              <c:strCache>
                <c:ptCount val="1"/>
                <c:pt idx="0">
                  <c:v>Total Asset Turnover Ratio.</c:v>
                </c:pt>
              </c:strCache>
            </c:strRef>
          </c:tx>
          <c:spPr>
            <a:solidFill>
              <a:schemeClr val="accent1"/>
            </a:solidFill>
            <a:ln>
              <a:noFill/>
            </a:ln>
            <a:effectLst/>
          </c:spPr>
          <c:invertIfNegative val="0"/>
          <c:cat>
            <c:strRef>
              <c:f>'Efficiency ratio'!$A$4:$A$9</c:f>
              <c:strCache>
                <c:ptCount val="5"/>
                <c:pt idx="0">
                  <c:v>Mar-21</c:v>
                </c:pt>
                <c:pt idx="1">
                  <c:v>Mar-22</c:v>
                </c:pt>
                <c:pt idx="2">
                  <c:v>Mar-23</c:v>
                </c:pt>
                <c:pt idx="3">
                  <c:v>Mar-24</c:v>
                </c:pt>
                <c:pt idx="4">
                  <c:v>Mar-25</c:v>
                </c:pt>
              </c:strCache>
            </c:strRef>
          </c:cat>
          <c:val>
            <c:numRef>
              <c:f>'Efficiency ratio'!$B$4:$B$9</c:f>
              <c:numCache>
                <c:formatCode>General</c:formatCode>
                <c:ptCount val="5"/>
                <c:pt idx="0">
                  <c:v>1.68</c:v>
                </c:pt>
                <c:pt idx="1">
                  <c:v>1.94</c:v>
                </c:pt>
                <c:pt idx="2">
                  <c:v>2.2999999999999998</c:v>
                </c:pt>
                <c:pt idx="3">
                  <c:v>2.5299999999999998</c:v>
                </c:pt>
                <c:pt idx="4">
                  <c:v>2.63</c:v>
                </c:pt>
              </c:numCache>
            </c:numRef>
          </c:val>
          <c:extLst>
            <c:ext xmlns:c16="http://schemas.microsoft.com/office/drawing/2014/chart" uri="{C3380CC4-5D6E-409C-BE32-E72D297353CC}">
              <c16:uniqueId val="{00000000-D746-48AA-940B-0565675F4DDA}"/>
            </c:ext>
          </c:extLst>
        </c:ser>
        <c:ser>
          <c:idx val="1"/>
          <c:order val="1"/>
          <c:tx>
            <c:strRef>
              <c:f>'Efficiency ratio'!$C$3</c:f>
              <c:strCache>
                <c:ptCount val="1"/>
                <c:pt idx="0">
                  <c:v>Fixed Assets Turnover Ratio.</c:v>
                </c:pt>
              </c:strCache>
            </c:strRef>
          </c:tx>
          <c:spPr>
            <a:solidFill>
              <a:schemeClr val="accent2"/>
            </a:solidFill>
            <a:ln>
              <a:noFill/>
            </a:ln>
            <a:effectLst/>
          </c:spPr>
          <c:invertIfNegative val="0"/>
          <c:cat>
            <c:strRef>
              <c:f>'Efficiency ratio'!$A$4:$A$9</c:f>
              <c:strCache>
                <c:ptCount val="5"/>
                <c:pt idx="0">
                  <c:v>Mar-21</c:v>
                </c:pt>
                <c:pt idx="1">
                  <c:v>Mar-22</c:v>
                </c:pt>
                <c:pt idx="2">
                  <c:v>Mar-23</c:v>
                </c:pt>
                <c:pt idx="3">
                  <c:v>Mar-24</c:v>
                </c:pt>
                <c:pt idx="4">
                  <c:v>Mar-25</c:v>
                </c:pt>
              </c:strCache>
            </c:strRef>
          </c:cat>
          <c:val>
            <c:numRef>
              <c:f>'Efficiency ratio'!$C$4:$C$9</c:f>
              <c:numCache>
                <c:formatCode>General</c:formatCode>
                <c:ptCount val="5"/>
                <c:pt idx="0">
                  <c:v>4.49</c:v>
                </c:pt>
                <c:pt idx="1">
                  <c:v>4.95</c:v>
                </c:pt>
                <c:pt idx="2">
                  <c:v>5.56</c:v>
                </c:pt>
                <c:pt idx="3">
                  <c:v>5.62</c:v>
                </c:pt>
                <c:pt idx="4">
                  <c:v>5.59</c:v>
                </c:pt>
              </c:numCache>
            </c:numRef>
          </c:val>
          <c:extLst>
            <c:ext xmlns:c16="http://schemas.microsoft.com/office/drawing/2014/chart" uri="{C3380CC4-5D6E-409C-BE32-E72D297353CC}">
              <c16:uniqueId val="{00000001-D746-48AA-940B-0565675F4DDA}"/>
            </c:ext>
          </c:extLst>
        </c:ser>
        <c:ser>
          <c:idx val="2"/>
          <c:order val="2"/>
          <c:tx>
            <c:strRef>
              <c:f>'Efficiency ratio'!$D$3</c:f>
              <c:strCache>
                <c:ptCount val="1"/>
                <c:pt idx="0">
                  <c:v>Debtors Turnover Ratio.</c:v>
                </c:pt>
              </c:strCache>
            </c:strRef>
          </c:tx>
          <c:spPr>
            <a:solidFill>
              <a:schemeClr val="accent3"/>
            </a:solidFill>
            <a:ln>
              <a:noFill/>
            </a:ln>
            <a:effectLst/>
          </c:spPr>
          <c:invertIfNegative val="0"/>
          <c:cat>
            <c:strRef>
              <c:f>'Efficiency ratio'!$A$4:$A$9</c:f>
              <c:strCache>
                <c:ptCount val="5"/>
                <c:pt idx="0">
                  <c:v>Mar-21</c:v>
                </c:pt>
                <c:pt idx="1">
                  <c:v>Mar-22</c:v>
                </c:pt>
                <c:pt idx="2">
                  <c:v>Mar-23</c:v>
                </c:pt>
                <c:pt idx="3">
                  <c:v>Mar-24</c:v>
                </c:pt>
                <c:pt idx="4">
                  <c:v>Mar-25</c:v>
                </c:pt>
              </c:strCache>
            </c:strRef>
          </c:cat>
          <c:val>
            <c:numRef>
              <c:f>'Efficiency ratio'!$D$4:$D$9</c:f>
              <c:numCache>
                <c:formatCode>General</c:formatCode>
                <c:ptCount val="5"/>
                <c:pt idx="0">
                  <c:v>5.05</c:v>
                </c:pt>
                <c:pt idx="1">
                  <c:v>5.23</c:v>
                </c:pt>
                <c:pt idx="2">
                  <c:v>4.83</c:v>
                </c:pt>
                <c:pt idx="3">
                  <c:v>4.55</c:v>
                </c:pt>
                <c:pt idx="4">
                  <c:v>4.3899999999999997</c:v>
                </c:pt>
              </c:numCache>
            </c:numRef>
          </c:val>
          <c:extLst>
            <c:ext xmlns:c16="http://schemas.microsoft.com/office/drawing/2014/chart" uri="{C3380CC4-5D6E-409C-BE32-E72D297353CC}">
              <c16:uniqueId val="{00000002-D746-48AA-940B-0565675F4DDA}"/>
            </c:ext>
          </c:extLst>
        </c:ser>
        <c:ser>
          <c:idx val="3"/>
          <c:order val="3"/>
          <c:tx>
            <c:strRef>
              <c:f>'Efficiency ratio'!$E$3</c:f>
              <c:strCache>
                <c:ptCount val="1"/>
                <c:pt idx="0">
                  <c:v>Inventory Turnover Ratio.</c:v>
                </c:pt>
              </c:strCache>
            </c:strRef>
          </c:tx>
          <c:spPr>
            <a:solidFill>
              <a:schemeClr val="accent4"/>
            </a:solidFill>
            <a:ln>
              <a:noFill/>
            </a:ln>
            <a:effectLst/>
          </c:spPr>
          <c:invertIfNegative val="0"/>
          <c:cat>
            <c:strRef>
              <c:f>'Efficiency ratio'!$A$4:$A$9</c:f>
              <c:strCache>
                <c:ptCount val="5"/>
                <c:pt idx="0">
                  <c:v>Mar-21</c:v>
                </c:pt>
                <c:pt idx="1">
                  <c:v>Mar-22</c:v>
                </c:pt>
                <c:pt idx="2">
                  <c:v>Mar-23</c:v>
                </c:pt>
                <c:pt idx="3">
                  <c:v>Mar-24</c:v>
                </c:pt>
                <c:pt idx="4">
                  <c:v>Mar-25</c:v>
                </c:pt>
              </c:strCache>
            </c:strRef>
          </c:cat>
          <c:val>
            <c:numRef>
              <c:f>'Efficiency ratio'!$E$4:$E$9</c:f>
              <c:numCache>
                <c:formatCode>General</c:formatCode>
                <c:ptCount val="5"/>
                <c:pt idx="0">
                  <c:v>1.82</c:v>
                </c:pt>
                <c:pt idx="1">
                  <c:v>2.08</c:v>
                </c:pt>
                <c:pt idx="2">
                  <c:v>2.5499999999999998</c:v>
                </c:pt>
                <c:pt idx="3">
                  <c:v>2.81</c:v>
                </c:pt>
                <c:pt idx="4">
                  <c:v>2.84</c:v>
                </c:pt>
              </c:numCache>
            </c:numRef>
          </c:val>
          <c:extLst>
            <c:ext xmlns:c16="http://schemas.microsoft.com/office/drawing/2014/chart" uri="{C3380CC4-5D6E-409C-BE32-E72D297353CC}">
              <c16:uniqueId val="{00000003-D746-48AA-940B-0565675F4DDA}"/>
            </c:ext>
          </c:extLst>
        </c:ser>
        <c:dLbls>
          <c:showLegendKey val="0"/>
          <c:showVal val="0"/>
          <c:showCatName val="0"/>
          <c:showSerName val="0"/>
          <c:showPercent val="0"/>
          <c:showBubbleSize val="0"/>
        </c:dLbls>
        <c:gapWidth val="219"/>
        <c:overlap val="-27"/>
        <c:axId val="21897663"/>
        <c:axId val="21898143"/>
      </c:barChart>
      <c:catAx>
        <c:axId val="2189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98143"/>
        <c:crosses val="autoZero"/>
        <c:auto val="1"/>
        <c:lblAlgn val="ctr"/>
        <c:lblOffset val="100"/>
        <c:noMultiLvlLbl val="0"/>
      </c:catAx>
      <c:valAx>
        <c:axId val="2189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9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 25PGDM171.xlsx]Efficiency ratio!PivotTable22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4798060195282E-2"/>
          <c:y val="2.0466713240383461E-2"/>
          <c:w val="0.63468151085017588"/>
          <c:h val="0.72515893207504101"/>
        </c:manualLayout>
      </c:layout>
      <c:barChart>
        <c:barDir val="col"/>
        <c:grouping val="clustered"/>
        <c:varyColors val="0"/>
        <c:ser>
          <c:idx val="0"/>
          <c:order val="0"/>
          <c:tx>
            <c:strRef>
              <c:f>'Efficiency ratio'!$B$3</c:f>
              <c:strCache>
                <c:ptCount val="1"/>
                <c:pt idx="0">
                  <c:v>Total Asset Turnover Ratio.</c:v>
                </c:pt>
              </c:strCache>
            </c:strRef>
          </c:tx>
          <c:spPr>
            <a:solidFill>
              <a:schemeClr val="accent1"/>
            </a:solidFill>
            <a:ln>
              <a:noFill/>
            </a:ln>
            <a:effectLst/>
          </c:spPr>
          <c:invertIfNegative val="0"/>
          <c:cat>
            <c:strRef>
              <c:f>'Efficiency ratio'!$A$4:$A$9</c:f>
              <c:strCache>
                <c:ptCount val="5"/>
                <c:pt idx="0">
                  <c:v>Mar-21</c:v>
                </c:pt>
                <c:pt idx="1">
                  <c:v>Mar-22</c:v>
                </c:pt>
                <c:pt idx="2">
                  <c:v>Mar-23</c:v>
                </c:pt>
                <c:pt idx="3">
                  <c:v>Mar-24</c:v>
                </c:pt>
                <c:pt idx="4">
                  <c:v>Mar-25</c:v>
                </c:pt>
              </c:strCache>
            </c:strRef>
          </c:cat>
          <c:val>
            <c:numRef>
              <c:f>'Efficiency ratio'!$B$4:$B$9</c:f>
              <c:numCache>
                <c:formatCode>General</c:formatCode>
                <c:ptCount val="5"/>
                <c:pt idx="0">
                  <c:v>1.68</c:v>
                </c:pt>
                <c:pt idx="1">
                  <c:v>1.94</c:v>
                </c:pt>
                <c:pt idx="2">
                  <c:v>2.2999999999999998</c:v>
                </c:pt>
                <c:pt idx="3">
                  <c:v>2.5299999999999998</c:v>
                </c:pt>
                <c:pt idx="4">
                  <c:v>2.63</c:v>
                </c:pt>
              </c:numCache>
            </c:numRef>
          </c:val>
          <c:extLst>
            <c:ext xmlns:c16="http://schemas.microsoft.com/office/drawing/2014/chart" uri="{C3380CC4-5D6E-409C-BE32-E72D297353CC}">
              <c16:uniqueId val="{00000004-FE18-4640-A550-239BC6F35586}"/>
            </c:ext>
          </c:extLst>
        </c:ser>
        <c:ser>
          <c:idx val="1"/>
          <c:order val="1"/>
          <c:tx>
            <c:strRef>
              <c:f>'Efficiency ratio'!$C$3</c:f>
              <c:strCache>
                <c:ptCount val="1"/>
                <c:pt idx="0">
                  <c:v>Fixed Assets Turnover Ratio.</c:v>
                </c:pt>
              </c:strCache>
            </c:strRef>
          </c:tx>
          <c:spPr>
            <a:solidFill>
              <a:schemeClr val="accent2"/>
            </a:solidFill>
            <a:ln>
              <a:noFill/>
            </a:ln>
            <a:effectLst/>
          </c:spPr>
          <c:invertIfNegative val="0"/>
          <c:cat>
            <c:strRef>
              <c:f>'Efficiency ratio'!$A$4:$A$9</c:f>
              <c:strCache>
                <c:ptCount val="5"/>
                <c:pt idx="0">
                  <c:v>Mar-21</c:v>
                </c:pt>
                <c:pt idx="1">
                  <c:v>Mar-22</c:v>
                </c:pt>
                <c:pt idx="2">
                  <c:v>Mar-23</c:v>
                </c:pt>
                <c:pt idx="3">
                  <c:v>Mar-24</c:v>
                </c:pt>
                <c:pt idx="4">
                  <c:v>Mar-25</c:v>
                </c:pt>
              </c:strCache>
            </c:strRef>
          </c:cat>
          <c:val>
            <c:numRef>
              <c:f>'Efficiency ratio'!$C$4:$C$9</c:f>
              <c:numCache>
                <c:formatCode>General</c:formatCode>
                <c:ptCount val="5"/>
                <c:pt idx="0">
                  <c:v>4.49</c:v>
                </c:pt>
                <c:pt idx="1">
                  <c:v>4.95</c:v>
                </c:pt>
                <c:pt idx="2">
                  <c:v>5.56</c:v>
                </c:pt>
                <c:pt idx="3">
                  <c:v>5.62</c:v>
                </c:pt>
                <c:pt idx="4">
                  <c:v>5.59</c:v>
                </c:pt>
              </c:numCache>
            </c:numRef>
          </c:val>
          <c:extLst>
            <c:ext xmlns:c16="http://schemas.microsoft.com/office/drawing/2014/chart" uri="{C3380CC4-5D6E-409C-BE32-E72D297353CC}">
              <c16:uniqueId val="{00000005-FE18-4640-A550-239BC6F35586}"/>
            </c:ext>
          </c:extLst>
        </c:ser>
        <c:ser>
          <c:idx val="2"/>
          <c:order val="2"/>
          <c:tx>
            <c:strRef>
              <c:f>'Efficiency ratio'!$D$3</c:f>
              <c:strCache>
                <c:ptCount val="1"/>
                <c:pt idx="0">
                  <c:v>Debtors Turnover Ratio.</c:v>
                </c:pt>
              </c:strCache>
            </c:strRef>
          </c:tx>
          <c:spPr>
            <a:solidFill>
              <a:schemeClr val="accent3"/>
            </a:solidFill>
            <a:ln>
              <a:noFill/>
            </a:ln>
            <a:effectLst/>
          </c:spPr>
          <c:invertIfNegative val="0"/>
          <c:cat>
            <c:strRef>
              <c:f>'Efficiency ratio'!$A$4:$A$9</c:f>
              <c:strCache>
                <c:ptCount val="5"/>
                <c:pt idx="0">
                  <c:v>Mar-21</c:v>
                </c:pt>
                <c:pt idx="1">
                  <c:v>Mar-22</c:v>
                </c:pt>
                <c:pt idx="2">
                  <c:v>Mar-23</c:v>
                </c:pt>
                <c:pt idx="3">
                  <c:v>Mar-24</c:v>
                </c:pt>
                <c:pt idx="4">
                  <c:v>Mar-25</c:v>
                </c:pt>
              </c:strCache>
            </c:strRef>
          </c:cat>
          <c:val>
            <c:numRef>
              <c:f>'Efficiency ratio'!$D$4:$D$9</c:f>
              <c:numCache>
                <c:formatCode>General</c:formatCode>
                <c:ptCount val="5"/>
                <c:pt idx="0">
                  <c:v>5.05</c:v>
                </c:pt>
                <c:pt idx="1">
                  <c:v>5.23</c:v>
                </c:pt>
                <c:pt idx="2">
                  <c:v>4.83</c:v>
                </c:pt>
                <c:pt idx="3">
                  <c:v>4.55</c:v>
                </c:pt>
                <c:pt idx="4">
                  <c:v>4.3899999999999997</c:v>
                </c:pt>
              </c:numCache>
            </c:numRef>
          </c:val>
          <c:extLst>
            <c:ext xmlns:c16="http://schemas.microsoft.com/office/drawing/2014/chart" uri="{C3380CC4-5D6E-409C-BE32-E72D297353CC}">
              <c16:uniqueId val="{00000006-FE18-4640-A550-239BC6F35586}"/>
            </c:ext>
          </c:extLst>
        </c:ser>
        <c:ser>
          <c:idx val="3"/>
          <c:order val="3"/>
          <c:tx>
            <c:strRef>
              <c:f>'Efficiency ratio'!$E$3</c:f>
              <c:strCache>
                <c:ptCount val="1"/>
                <c:pt idx="0">
                  <c:v>Inventory Turnover Ratio.</c:v>
                </c:pt>
              </c:strCache>
            </c:strRef>
          </c:tx>
          <c:spPr>
            <a:solidFill>
              <a:schemeClr val="accent4"/>
            </a:solidFill>
            <a:ln>
              <a:noFill/>
            </a:ln>
            <a:effectLst/>
          </c:spPr>
          <c:invertIfNegative val="0"/>
          <c:cat>
            <c:strRef>
              <c:f>'Efficiency ratio'!$A$4:$A$9</c:f>
              <c:strCache>
                <c:ptCount val="5"/>
                <c:pt idx="0">
                  <c:v>Mar-21</c:v>
                </c:pt>
                <c:pt idx="1">
                  <c:v>Mar-22</c:v>
                </c:pt>
                <c:pt idx="2">
                  <c:v>Mar-23</c:v>
                </c:pt>
                <c:pt idx="3">
                  <c:v>Mar-24</c:v>
                </c:pt>
                <c:pt idx="4">
                  <c:v>Mar-25</c:v>
                </c:pt>
              </c:strCache>
            </c:strRef>
          </c:cat>
          <c:val>
            <c:numRef>
              <c:f>'Efficiency ratio'!$E$4:$E$9</c:f>
              <c:numCache>
                <c:formatCode>General</c:formatCode>
                <c:ptCount val="5"/>
                <c:pt idx="0">
                  <c:v>1.82</c:v>
                </c:pt>
                <c:pt idx="1">
                  <c:v>2.08</c:v>
                </c:pt>
                <c:pt idx="2">
                  <c:v>2.5499999999999998</c:v>
                </c:pt>
                <c:pt idx="3">
                  <c:v>2.81</c:v>
                </c:pt>
                <c:pt idx="4">
                  <c:v>2.84</c:v>
                </c:pt>
              </c:numCache>
            </c:numRef>
          </c:val>
          <c:extLst>
            <c:ext xmlns:c16="http://schemas.microsoft.com/office/drawing/2014/chart" uri="{C3380CC4-5D6E-409C-BE32-E72D297353CC}">
              <c16:uniqueId val="{00000007-FE18-4640-A550-239BC6F35586}"/>
            </c:ext>
          </c:extLst>
        </c:ser>
        <c:dLbls>
          <c:showLegendKey val="0"/>
          <c:showVal val="0"/>
          <c:showCatName val="0"/>
          <c:showSerName val="0"/>
          <c:showPercent val="0"/>
          <c:showBubbleSize val="0"/>
        </c:dLbls>
        <c:gapWidth val="219"/>
        <c:overlap val="-27"/>
        <c:axId val="21897663"/>
        <c:axId val="21898143"/>
      </c:barChart>
      <c:catAx>
        <c:axId val="2189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98143"/>
        <c:crosses val="autoZero"/>
        <c:auto val="1"/>
        <c:lblAlgn val="ctr"/>
        <c:lblOffset val="100"/>
        <c:noMultiLvlLbl val="0"/>
      </c:catAx>
      <c:valAx>
        <c:axId val="2189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9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 25PGDM171.xlsx]Liquidity ratio!PivotTable21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'Liquidity ratio'!$B$3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'Liquidity ratio'!$A$4:$A$9</c:f>
              <c:strCache>
                <c:ptCount val="5"/>
                <c:pt idx="0">
                  <c:v>Mar-21</c:v>
                </c:pt>
                <c:pt idx="1">
                  <c:v>Mar-22</c:v>
                </c:pt>
                <c:pt idx="2">
                  <c:v>Mar-23</c:v>
                </c:pt>
                <c:pt idx="3">
                  <c:v>Mar-24</c:v>
                </c:pt>
                <c:pt idx="4">
                  <c:v>Mar-25</c:v>
                </c:pt>
              </c:strCache>
            </c:strRef>
          </c:cat>
          <c:val>
            <c:numRef>
              <c:f>'Liquidity ratio'!$B$4:$B$9</c:f>
              <c:numCache>
                <c:formatCode>General</c:formatCode>
                <c:ptCount val="5"/>
                <c:pt idx="0">
                  <c:v>2.11</c:v>
                </c:pt>
                <c:pt idx="1">
                  <c:v>1.87</c:v>
                </c:pt>
                <c:pt idx="2">
                  <c:v>1.63</c:v>
                </c:pt>
                <c:pt idx="3">
                  <c:v>1.52</c:v>
                </c:pt>
                <c:pt idx="4">
                  <c:v>1.55</c:v>
                </c:pt>
              </c:numCache>
            </c:numRef>
          </c:val>
          <c:smooth val="0"/>
          <c:extLst>
            <c:ext xmlns:c16="http://schemas.microsoft.com/office/drawing/2014/chart" uri="{C3380CC4-5D6E-409C-BE32-E72D297353CC}">
              <c16:uniqueId val="{00000000-1950-463A-9448-2B38114433CB}"/>
            </c:ext>
          </c:extLst>
        </c:ser>
        <c:dLbls>
          <c:dLblPos val="t"/>
          <c:showLegendKey val="0"/>
          <c:showVal val="1"/>
          <c:showCatName val="0"/>
          <c:showSerName val="0"/>
          <c:showPercent val="0"/>
          <c:showBubbleSize val="0"/>
        </c:dLbls>
        <c:marker val="1"/>
        <c:smooth val="0"/>
        <c:axId val="21854943"/>
        <c:axId val="21872223"/>
      </c:lineChart>
      <c:catAx>
        <c:axId val="2185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2223"/>
        <c:crosses val="autoZero"/>
        <c:auto val="1"/>
        <c:lblAlgn val="ctr"/>
        <c:lblOffset val="100"/>
        <c:noMultiLvlLbl val="0"/>
      </c:catAx>
      <c:valAx>
        <c:axId val="2187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5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 25PGDM171.xlsx]Profitability ratio!PivotTable23</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'Profitability ratio'!$B$3</c:f>
              <c:strCache>
                <c:ptCount val="1"/>
                <c:pt idx="0">
                  <c:v>PBIDTM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'Profitability ratio'!$A$4:$A$9</c:f>
              <c:strCache>
                <c:ptCount val="5"/>
                <c:pt idx="0">
                  <c:v>Mar-21</c:v>
                </c:pt>
                <c:pt idx="1">
                  <c:v>Mar-22</c:v>
                </c:pt>
                <c:pt idx="2">
                  <c:v>Mar-23</c:v>
                </c:pt>
                <c:pt idx="3">
                  <c:v>Mar-24</c:v>
                </c:pt>
                <c:pt idx="4">
                  <c:v>Mar-25</c:v>
                </c:pt>
              </c:strCache>
            </c:strRef>
          </c:cat>
          <c:val>
            <c:numRef>
              <c:f>'Profitability ratio'!$B$4:$B$9</c:f>
              <c:numCache>
                <c:formatCode>General</c:formatCode>
                <c:ptCount val="5"/>
                <c:pt idx="0">
                  <c:v>32.72</c:v>
                </c:pt>
                <c:pt idx="1">
                  <c:v>33.51</c:v>
                </c:pt>
                <c:pt idx="2">
                  <c:v>29.59</c:v>
                </c:pt>
                <c:pt idx="3">
                  <c:v>30.72</c:v>
                </c:pt>
                <c:pt idx="4">
                  <c:v>31.45</c:v>
                </c:pt>
              </c:numCache>
            </c:numRef>
          </c:val>
          <c:smooth val="0"/>
          <c:extLst>
            <c:ext xmlns:c16="http://schemas.microsoft.com/office/drawing/2014/chart" uri="{C3380CC4-5D6E-409C-BE32-E72D297353CC}">
              <c16:uniqueId val="{00000000-420F-4640-B55B-09949B9B6BE9}"/>
            </c:ext>
          </c:extLst>
        </c:ser>
        <c:ser>
          <c:idx val="1"/>
          <c:order val="1"/>
          <c:tx>
            <c:strRef>
              <c:f>'Profitability ratio'!$C$3</c:f>
              <c:strCache>
                <c:ptCount val="1"/>
                <c:pt idx="0">
                  <c:v>PBITM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'Profitability ratio'!$A$4:$A$9</c:f>
              <c:strCache>
                <c:ptCount val="5"/>
                <c:pt idx="0">
                  <c:v>Mar-21</c:v>
                </c:pt>
                <c:pt idx="1">
                  <c:v>Mar-22</c:v>
                </c:pt>
                <c:pt idx="2">
                  <c:v>Mar-23</c:v>
                </c:pt>
                <c:pt idx="3">
                  <c:v>Mar-24</c:v>
                </c:pt>
                <c:pt idx="4">
                  <c:v>Mar-25</c:v>
                </c:pt>
              </c:strCache>
            </c:strRef>
          </c:cat>
          <c:val>
            <c:numRef>
              <c:f>'Profitability ratio'!$C$4:$C$9</c:f>
              <c:numCache>
                <c:formatCode>General</c:formatCode>
                <c:ptCount val="5"/>
                <c:pt idx="0">
                  <c:v>30.48</c:v>
                </c:pt>
                <c:pt idx="1">
                  <c:v>31.31</c:v>
                </c:pt>
                <c:pt idx="2">
                  <c:v>27.52</c:v>
                </c:pt>
                <c:pt idx="3">
                  <c:v>28.8</c:v>
                </c:pt>
                <c:pt idx="4">
                  <c:v>29.49</c:v>
                </c:pt>
              </c:numCache>
            </c:numRef>
          </c:val>
          <c:smooth val="0"/>
          <c:extLst>
            <c:ext xmlns:c16="http://schemas.microsoft.com/office/drawing/2014/chart" uri="{C3380CC4-5D6E-409C-BE32-E72D297353CC}">
              <c16:uniqueId val="{00000001-420F-4640-B55B-09949B9B6BE9}"/>
            </c:ext>
          </c:extLst>
        </c:ser>
        <c:ser>
          <c:idx val="2"/>
          <c:order val="2"/>
          <c:tx>
            <c:strRef>
              <c:f>'Profitability ratio'!$D$3</c:f>
              <c:strCache>
                <c:ptCount val="1"/>
                <c:pt idx="0">
                  <c:v>PBDTM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'Profitability ratio'!$A$4:$A$9</c:f>
              <c:strCache>
                <c:ptCount val="5"/>
                <c:pt idx="0">
                  <c:v>Mar-21</c:v>
                </c:pt>
                <c:pt idx="1">
                  <c:v>Mar-22</c:v>
                </c:pt>
                <c:pt idx="2">
                  <c:v>Mar-23</c:v>
                </c:pt>
                <c:pt idx="3">
                  <c:v>Mar-24</c:v>
                </c:pt>
                <c:pt idx="4">
                  <c:v>Mar-25</c:v>
                </c:pt>
              </c:strCache>
            </c:strRef>
          </c:cat>
          <c:val>
            <c:numRef>
              <c:f>'Profitability ratio'!$D$4:$D$9</c:f>
              <c:numCache>
                <c:formatCode>General</c:formatCode>
                <c:ptCount val="5"/>
                <c:pt idx="0">
                  <c:v>32.33</c:v>
                </c:pt>
                <c:pt idx="1">
                  <c:v>33.21</c:v>
                </c:pt>
                <c:pt idx="2">
                  <c:v>29.22</c:v>
                </c:pt>
                <c:pt idx="3">
                  <c:v>30.39</c:v>
                </c:pt>
                <c:pt idx="4">
                  <c:v>31.12</c:v>
                </c:pt>
              </c:numCache>
            </c:numRef>
          </c:val>
          <c:smooth val="0"/>
          <c:extLst>
            <c:ext xmlns:c16="http://schemas.microsoft.com/office/drawing/2014/chart" uri="{C3380CC4-5D6E-409C-BE32-E72D297353CC}">
              <c16:uniqueId val="{00000002-420F-4640-B55B-09949B9B6BE9}"/>
            </c:ext>
          </c:extLst>
        </c:ser>
        <c:ser>
          <c:idx val="3"/>
          <c:order val="3"/>
          <c:tx>
            <c:strRef>
              <c:f>'Profitability ratio'!$E$3</c:f>
              <c:strCache>
                <c:ptCount val="1"/>
                <c:pt idx="0">
                  <c:v>APATM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'Profitability ratio'!$A$4:$A$9</c:f>
              <c:strCache>
                <c:ptCount val="5"/>
                <c:pt idx="0">
                  <c:v>Mar-21</c:v>
                </c:pt>
                <c:pt idx="1">
                  <c:v>Mar-22</c:v>
                </c:pt>
                <c:pt idx="2">
                  <c:v>Mar-23</c:v>
                </c:pt>
                <c:pt idx="3">
                  <c:v>Mar-24</c:v>
                </c:pt>
                <c:pt idx="4">
                  <c:v>Mar-25</c:v>
                </c:pt>
              </c:strCache>
            </c:strRef>
          </c:cat>
          <c:val>
            <c:numRef>
              <c:f>'Profitability ratio'!$E$4:$E$9</c:f>
              <c:numCache>
                <c:formatCode>General</c:formatCode>
                <c:ptCount val="5"/>
                <c:pt idx="0">
                  <c:v>22.77</c:v>
                </c:pt>
                <c:pt idx="1">
                  <c:v>23.82</c:v>
                </c:pt>
                <c:pt idx="2">
                  <c:v>20.54</c:v>
                </c:pt>
                <c:pt idx="3">
                  <c:v>21.53</c:v>
                </c:pt>
                <c:pt idx="4">
                  <c:v>22.37</c:v>
                </c:pt>
              </c:numCache>
            </c:numRef>
          </c:val>
          <c:smooth val="0"/>
          <c:extLst>
            <c:ext xmlns:c16="http://schemas.microsoft.com/office/drawing/2014/chart" uri="{C3380CC4-5D6E-409C-BE32-E72D297353CC}">
              <c16:uniqueId val="{00000003-420F-4640-B55B-09949B9B6BE9}"/>
            </c:ext>
          </c:extLst>
        </c:ser>
        <c:ser>
          <c:idx val="4"/>
          <c:order val="4"/>
          <c:tx>
            <c:strRef>
              <c:f>'Profitability ratio'!$F$3</c:f>
              <c:strCache>
                <c:ptCount val="1"/>
                <c:pt idx="0">
                  <c:v> ROCE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'Profitability ratio'!$A$4:$A$9</c:f>
              <c:strCache>
                <c:ptCount val="5"/>
                <c:pt idx="0">
                  <c:v>Mar-21</c:v>
                </c:pt>
                <c:pt idx="1">
                  <c:v>Mar-22</c:v>
                </c:pt>
                <c:pt idx="2">
                  <c:v>Mar-23</c:v>
                </c:pt>
                <c:pt idx="3">
                  <c:v>Mar-24</c:v>
                </c:pt>
                <c:pt idx="4">
                  <c:v>Mar-25</c:v>
                </c:pt>
              </c:strCache>
            </c:strRef>
          </c:cat>
          <c:val>
            <c:numRef>
              <c:f>'Profitability ratio'!$F$4:$F$9</c:f>
              <c:numCache>
                <c:formatCode>General</c:formatCode>
                <c:ptCount val="5"/>
                <c:pt idx="0">
                  <c:v>51.76</c:v>
                </c:pt>
                <c:pt idx="1">
                  <c:v>61.22</c:v>
                </c:pt>
                <c:pt idx="2">
                  <c:v>63.59</c:v>
                </c:pt>
                <c:pt idx="3">
                  <c:v>72.959999999999994</c:v>
                </c:pt>
                <c:pt idx="4">
                  <c:v>78.06</c:v>
                </c:pt>
              </c:numCache>
            </c:numRef>
          </c:val>
          <c:smooth val="0"/>
          <c:extLst>
            <c:ext xmlns:c16="http://schemas.microsoft.com/office/drawing/2014/chart" uri="{C3380CC4-5D6E-409C-BE32-E72D297353CC}">
              <c16:uniqueId val="{00000004-420F-4640-B55B-09949B9B6BE9}"/>
            </c:ext>
          </c:extLst>
        </c:ser>
        <c:ser>
          <c:idx val="5"/>
          <c:order val="5"/>
          <c:tx>
            <c:strRef>
              <c:f>'Profitability ratio'!$G$3</c:f>
              <c:strCache>
                <c:ptCount val="1"/>
                <c:pt idx="0">
                  <c:v>RONW</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'Profitability ratio'!$A$4:$A$9</c:f>
              <c:strCache>
                <c:ptCount val="5"/>
                <c:pt idx="0">
                  <c:v>Mar-21</c:v>
                </c:pt>
                <c:pt idx="1">
                  <c:v>Mar-22</c:v>
                </c:pt>
                <c:pt idx="2">
                  <c:v>Mar-23</c:v>
                </c:pt>
                <c:pt idx="3">
                  <c:v>Mar-24</c:v>
                </c:pt>
                <c:pt idx="4">
                  <c:v>Mar-25</c:v>
                </c:pt>
              </c:strCache>
            </c:strRef>
          </c:cat>
          <c:val>
            <c:numRef>
              <c:f>'Profitability ratio'!$G$4:$G$9</c:f>
              <c:numCache>
                <c:formatCode>General</c:formatCode>
                <c:ptCount val="5"/>
                <c:pt idx="0">
                  <c:v>42.02</c:v>
                </c:pt>
                <c:pt idx="1">
                  <c:v>50.76</c:v>
                </c:pt>
                <c:pt idx="2">
                  <c:v>51.8</c:v>
                </c:pt>
                <c:pt idx="3">
                  <c:v>59.6</c:v>
                </c:pt>
                <c:pt idx="4">
                  <c:v>65.56</c:v>
                </c:pt>
              </c:numCache>
            </c:numRef>
          </c:val>
          <c:smooth val="0"/>
          <c:extLst>
            <c:ext xmlns:c16="http://schemas.microsoft.com/office/drawing/2014/chart" uri="{C3380CC4-5D6E-409C-BE32-E72D297353CC}">
              <c16:uniqueId val="{00000005-420F-4640-B55B-09949B9B6BE9}"/>
            </c:ext>
          </c:extLst>
        </c:ser>
        <c:dLbls>
          <c:showLegendKey val="0"/>
          <c:showVal val="0"/>
          <c:showCatName val="0"/>
          <c:showSerName val="0"/>
          <c:showPercent val="0"/>
          <c:showBubbleSize val="0"/>
        </c:dLbls>
        <c:marker val="1"/>
        <c:smooth val="0"/>
        <c:axId val="21925023"/>
        <c:axId val="21912063"/>
      </c:lineChart>
      <c:catAx>
        <c:axId val="2192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12063"/>
        <c:crosses val="autoZero"/>
        <c:auto val="1"/>
        <c:lblAlgn val="ctr"/>
        <c:lblOffset val="100"/>
        <c:noMultiLvlLbl val="0"/>
      </c:catAx>
      <c:valAx>
        <c:axId val="2191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 25PGDM171.xlsx]Solvency ratio!PivotTable19</c:name>
    <c:fmtId val="9"/>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44225721784776"/>
          <c:y val="0.16564596092155148"/>
          <c:w val="0.40775218722659667"/>
          <c:h val="0.75010279965004378"/>
        </c:manualLayout>
      </c:layout>
      <c:barChart>
        <c:barDir val="bar"/>
        <c:grouping val="clustered"/>
        <c:varyColors val="0"/>
        <c:ser>
          <c:idx val="0"/>
          <c:order val="0"/>
          <c:tx>
            <c:strRef>
              <c:f>'Solvency ratio'!$B$3</c:f>
              <c:strCache>
                <c:ptCount val="1"/>
                <c:pt idx="0">
                  <c:v>Debt-Equity Ratio.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'Solvency ratio'!$A$4:$A$9</c:f>
              <c:strCache>
                <c:ptCount val="5"/>
                <c:pt idx="0">
                  <c:v>Mar-21</c:v>
                </c:pt>
                <c:pt idx="1">
                  <c:v>Mar-22</c:v>
                </c:pt>
                <c:pt idx="2">
                  <c:v>Mar-23</c:v>
                </c:pt>
                <c:pt idx="3">
                  <c:v>Mar-24</c:v>
                </c:pt>
                <c:pt idx="4">
                  <c:v>Mar-25</c:v>
                </c:pt>
              </c:strCache>
            </c:strRef>
          </c:cat>
          <c:val>
            <c:numRef>
              <c:f>'Solvency ratio'!$B$4:$B$9</c:f>
              <c:numCache>
                <c:formatCode>General</c:formatCode>
                <c:ptCount val="5"/>
                <c:pt idx="0">
                  <c:v>0.08</c:v>
                </c:pt>
                <c:pt idx="1">
                  <c:v>0.08</c:v>
                </c:pt>
                <c:pt idx="2">
                  <c:v>0.08</c:v>
                </c:pt>
                <c:pt idx="3">
                  <c:v>0.08</c:v>
                </c:pt>
                <c:pt idx="4">
                  <c:v>0.09</c:v>
                </c:pt>
              </c:numCache>
            </c:numRef>
          </c:val>
          <c:extLst>
            <c:ext xmlns:c16="http://schemas.microsoft.com/office/drawing/2014/chart" uri="{C3380CC4-5D6E-409C-BE32-E72D297353CC}">
              <c16:uniqueId val="{00000000-406F-4913-ADB0-C29291AFCF02}"/>
            </c:ext>
          </c:extLst>
        </c:ser>
        <c:ser>
          <c:idx val="1"/>
          <c:order val="1"/>
          <c:tx>
            <c:strRef>
              <c:f>'Solvency ratio'!$C$3</c:f>
              <c:strCache>
                <c:ptCount val="1"/>
                <c:pt idx="0">
                  <c:v>Long Term Debt-Equity Ratio.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'Solvency ratio'!$A$4:$A$9</c:f>
              <c:strCache>
                <c:ptCount val="5"/>
                <c:pt idx="0">
                  <c:v>Mar-21</c:v>
                </c:pt>
                <c:pt idx="1">
                  <c:v>Mar-22</c:v>
                </c:pt>
                <c:pt idx="2">
                  <c:v>Mar-23</c:v>
                </c:pt>
                <c:pt idx="3">
                  <c:v>Mar-24</c:v>
                </c:pt>
                <c:pt idx="4">
                  <c:v>Mar-25</c:v>
                </c:pt>
              </c:strCache>
            </c:strRef>
          </c:cat>
          <c:val>
            <c:numRef>
              <c:f>'Solvency ratio'!$C$4:$C$9</c:f>
              <c:numCache>
                <c:formatCode>General</c:formatCode>
                <c:ptCount val="5"/>
                <c:pt idx="0">
                  <c:v>7.0000000000000007E-2</c:v>
                </c:pt>
                <c:pt idx="1">
                  <c:v>7.0000000000000007E-2</c:v>
                </c:pt>
                <c:pt idx="2">
                  <c:v>0.06</c:v>
                </c:pt>
                <c:pt idx="3">
                  <c:v>7.0000000000000007E-2</c:v>
                </c:pt>
                <c:pt idx="4">
                  <c:v>0.08</c:v>
                </c:pt>
              </c:numCache>
            </c:numRef>
          </c:val>
          <c:extLst>
            <c:ext xmlns:c16="http://schemas.microsoft.com/office/drawing/2014/chart" uri="{C3380CC4-5D6E-409C-BE32-E72D297353CC}">
              <c16:uniqueId val="{00000001-406F-4913-ADB0-C29291AFCF02}"/>
            </c:ext>
          </c:extLst>
        </c:ser>
        <c:ser>
          <c:idx val="2"/>
          <c:order val="2"/>
          <c:tx>
            <c:strRef>
              <c:f>'Solvency ratio'!$D$3</c:f>
              <c:strCache>
                <c:ptCount val="1"/>
                <c:pt idx="0">
                  <c:v>Interest Cover Ratio.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'Solvency ratio'!$A$4:$A$9</c:f>
              <c:strCache>
                <c:ptCount val="5"/>
                <c:pt idx="0">
                  <c:v>Mar-21</c:v>
                </c:pt>
                <c:pt idx="1">
                  <c:v>Mar-22</c:v>
                </c:pt>
                <c:pt idx="2">
                  <c:v>Mar-23</c:v>
                </c:pt>
                <c:pt idx="3">
                  <c:v>Mar-24</c:v>
                </c:pt>
                <c:pt idx="4">
                  <c:v>Mar-25</c:v>
                </c:pt>
              </c:strCache>
            </c:strRef>
          </c:cat>
          <c:val>
            <c:numRef>
              <c:f>'Solvency ratio'!$D$4:$D$9</c:f>
              <c:numCache>
                <c:formatCode>General</c:formatCode>
                <c:ptCount val="5"/>
                <c:pt idx="0">
                  <c:v>77.17</c:v>
                </c:pt>
                <c:pt idx="1">
                  <c:v>103.31</c:v>
                </c:pt>
                <c:pt idx="2">
                  <c:v>75.37</c:v>
                </c:pt>
                <c:pt idx="3">
                  <c:v>86.59</c:v>
                </c:pt>
                <c:pt idx="4">
                  <c:v>90.12</c:v>
                </c:pt>
              </c:numCache>
            </c:numRef>
          </c:val>
          <c:extLst>
            <c:ext xmlns:c16="http://schemas.microsoft.com/office/drawing/2014/chart" uri="{C3380CC4-5D6E-409C-BE32-E72D297353CC}">
              <c16:uniqueId val="{00000002-406F-4913-ADB0-C29291AFCF02}"/>
            </c:ext>
          </c:extLst>
        </c:ser>
        <c:dLbls>
          <c:dLblPos val="outEnd"/>
          <c:showLegendKey val="0"/>
          <c:showVal val="1"/>
          <c:showCatName val="0"/>
          <c:showSerName val="0"/>
          <c:showPercent val="0"/>
          <c:showBubbleSize val="0"/>
        </c:dLbls>
        <c:gapWidth val="182"/>
        <c:axId val="198806527"/>
        <c:axId val="198799807"/>
      </c:barChart>
      <c:catAx>
        <c:axId val="19880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99807"/>
        <c:crosses val="autoZero"/>
        <c:auto val="1"/>
        <c:lblAlgn val="ctr"/>
        <c:lblOffset val="100"/>
        <c:noMultiLvlLbl val="0"/>
      </c:catAx>
      <c:valAx>
        <c:axId val="19879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0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 25PGDM171.xlsx]Profitability ratio!PivotTable23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'Profitability ratio'!$B$3</c:f>
              <c:strCache>
                <c:ptCount val="1"/>
                <c:pt idx="0">
                  <c:v>PBIDTM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'Profitability ratio'!$A$4:$A$9</c:f>
              <c:strCache>
                <c:ptCount val="5"/>
                <c:pt idx="0">
                  <c:v>Mar-21</c:v>
                </c:pt>
                <c:pt idx="1">
                  <c:v>Mar-22</c:v>
                </c:pt>
                <c:pt idx="2">
                  <c:v>Mar-23</c:v>
                </c:pt>
                <c:pt idx="3">
                  <c:v>Mar-24</c:v>
                </c:pt>
                <c:pt idx="4">
                  <c:v>Mar-25</c:v>
                </c:pt>
              </c:strCache>
            </c:strRef>
          </c:cat>
          <c:val>
            <c:numRef>
              <c:f>'Profitability ratio'!$B$4:$B$9</c:f>
              <c:numCache>
                <c:formatCode>General</c:formatCode>
                <c:ptCount val="5"/>
                <c:pt idx="0">
                  <c:v>32.72</c:v>
                </c:pt>
                <c:pt idx="1">
                  <c:v>33.51</c:v>
                </c:pt>
                <c:pt idx="2">
                  <c:v>29.59</c:v>
                </c:pt>
                <c:pt idx="3">
                  <c:v>30.72</c:v>
                </c:pt>
                <c:pt idx="4">
                  <c:v>31.45</c:v>
                </c:pt>
              </c:numCache>
            </c:numRef>
          </c:val>
          <c:smooth val="0"/>
          <c:extLst>
            <c:ext xmlns:c16="http://schemas.microsoft.com/office/drawing/2014/chart" uri="{C3380CC4-5D6E-409C-BE32-E72D297353CC}">
              <c16:uniqueId val="{00000000-21C1-4403-A7F2-27F9C870D29A}"/>
            </c:ext>
          </c:extLst>
        </c:ser>
        <c:ser>
          <c:idx val="1"/>
          <c:order val="1"/>
          <c:tx>
            <c:strRef>
              <c:f>'Profitability ratio'!$C$3</c:f>
              <c:strCache>
                <c:ptCount val="1"/>
                <c:pt idx="0">
                  <c:v>PBITM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'Profitability ratio'!$A$4:$A$9</c:f>
              <c:strCache>
                <c:ptCount val="5"/>
                <c:pt idx="0">
                  <c:v>Mar-21</c:v>
                </c:pt>
                <c:pt idx="1">
                  <c:v>Mar-22</c:v>
                </c:pt>
                <c:pt idx="2">
                  <c:v>Mar-23</c:v>
                </c:pt>
                <c:pt idx="3">
                  <c:v>Mar-24</c:v>
                </c:pt>
                <c:pt idx="4">
                  <c:v>Mar-25</c:v>
                </c:pt>
              </c:strCache>
            </c:strRef>
          </c:cat>
          <c:val>
            <c:numRef>
              <c:f>'Profitability ratio'!$C$4:$C$9</c:f>
              <c:numCache>
                <c:formatCode>General</c:formatCode>
                <c:ptCount val="5"/>
                <c:pt idx="0">
                  <c:v>30.48</c:v>
                </c:pt>
                <c:pt idx="1">
                  <c:v>31.31</c:v>
                </c:pt>
                <c:pt idx="2">
                  <c:v>27.52</c:v>
                </c:pt>
                <c:pt idx="3">
                  <c:v>28.8</c:v>
                </c:pt>
                <c:pt idx="4">
                  <c:v>29.49</c:v>
                </c:pt>
              </c:numCache>
            </c:numRef>
          </c:val>
          <c:smooth val="0"/>
          <c:extLst>
            <c:ext xmlns:c16="http://schemas.microsoft.com/office/drawing/2014/chart" uri="{C3380CC4-5D6E-409C-BE32-E72D297353CC}">
              <c16:uniqueId val="{00000001-21C1-4403-A7F2-27F9C870D29A}"/>
            </c:ext>
          </c:extLst>
        </c:ser>
        <c:ser>
          <c:idx val="2"/>
          <c:order val="2"/>
          <c:tx>
            <c:strRef>
              <c:f>'Profitability ratio'!$D$3</c:f>
              <c:strCache>
                <c:ptCount val="1"/>
                <c:pt idx="0">
                  <c:v>PBDTM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'Profitability ratio'!$A$4:$A$9</c:f>
              <c:strCache>
                <c:ptCount val="5"/>
                <c:pt idx="0">
                  <c:v>Mar-21</c:v>
                </c:pt>
                <c:pt idx="1">
                  <c:v>Mar-22</c:v>
                </c:pt>
                <c:pt idx="2">
                  <c:v>Mar-23</c:v>
                </c:pt>
                <c:pt idx="3">
                  <c:v>Mar-24</c:v>
                </c:pt>
                <c:pt idx="4">
                  <c:v>Mar-25</c:v>
                </c:pt>
              </c:strCache>
            </c:strRef>
          </c:cat>
          <c:val>
            <c:numRef>
              <c:f>'Profitability ratio'!$D$4:$D$9</c:f>
              <c:numCache>
                <c:formatCode>General</c:formatCode>
                <c:ptCount val="5"/>
                <c:pt idx="0">
                  <c:v>32.33</c:v>
                </c:pt>
                <c:pt idx="1">
                  <c:v>33.21</c:v>
                </c:pt>
                <c:pt idx="2">
                  <c:v>29.22</c:v>
                </c:pt>
                <c:pt idx="3">
                  <c:v>30.39</c:v>
                </c:pt>
                <c:pt idx="4">
                  <c:v>31.12</c:v>
                </c:pt>
              </c:numCache>
            </c:numRef>
          </c:val>
          <c:smooth val="0"/>
          <c:extLst>
            <c:ext xmlns:c16="http://schemas.microsoft.com/office/drawing/2014/chart" uri="{C3380CC4-5D6E-409C-BE32-E72D297353CC}">
              <c16:uniqueId val="{00000002-21C1-4403-A7F2-27F9C870D29A}"/>
            </c:ext>
          </c:extLst>
        </c:ser>
        <c:ser>
          <c:idx val="3"/>
          <c:order val="3"/>
          <c:tx>
            <c:strRef>
              <c:f>'Profitability ratio'!$E$3</c:f>
              <c:strCache>
                <c:ptCount val="1"/>
                <c:pt idx="0">
                  <c:v>APATM</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'Profitability ratio'!$A$4:$A$9</c:f>
              <c:strCache>
                <c:ptCount val="5"/>
                <c:pt idx="0">
                  <c:v>Mar-21</c:v>
                </c:pt>
                <c:pt idx="1">
                  <c:v>Mar-22</c:v>
                </c:pt>
                <c:pt idx="2">
                  <c:v>Mar-23</c:v>
                </c:pt>
                <c:pt idx="3">
                  <c:v>Mar-24</c:v>
                </c:pt>
                <c:pt idx="4">
                  <c:v>Mar-25</c:v>
                </c:pt>
              </c:strCache>
            </c:strRef>
          </c:cat>
          <c:val>
            <c:numRef>
              <c:f>'Profitability ratio'!$E$4:$E$9</c:f>
              <c:numCache>
                <c:formatCode>General</c:formatCode>
                <c:ptCount val="5"/>
                <c:pt idx="0">
                  <c:v>22.77</c:v>
                </c:pt>
                <c:pt idx="1">
                  <c:v>23.82</c:v>
                </c:pt>
                <c:pt idx="2">
                  <c:v>20.54</c:v>
                </c:pt>
                <c:pt idx="3">
                  <c:v>21.53</c:v>
                </c:pt>
                <c:pt idx="4">
                  <c:v>22.37</c:v>
                </c:pt>
              </c:numCache>
            </c:numRef>
          </c:val>
          <c:smooth val="0"/>
          <c:extLst>
            <c:ext xmlns:c16="http://schemas.microsoft.com/office/drawing/2014/chart" uri="{C3380CC4-5D6E-409C-BE32-E72D297353CC}">
              <c16:uniqueId val="{00000003-21C1-4403-A7F2-27F9C870D29A}"/>
            </c:ext>
          </c:extLst>
        </c:ser>
        <c:ser>
          <c:idx val="4"/>
          <c:order val="4"/>
          <c:tx>
            <c:strRef>
              <c:f>'Profitability ratio'!$F$3</c:f>
              <c:strCache>
                <c:ptCount val="1"/>
                <c:pt idx="0">
                  <c:v> ROCE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'Profitability ratio'!$A$4:$A$9</c:f>
              <c:strCache>
                <c:ptCount val="5"/>
                <c:pt idx="0">
                  <c:v>Mar-21</c:v>
                </c:pt>
                <c:pt idx="1">
                  <c:v>Mar-22</c:v>
                </c:pt>
                <c:pt idx="2">
                  <c:v>Mar-23</c:v>
                </c:pt>
                <c:pt idx="3">
                  <c:v>Mar-24</c:v>
                </c:pt>
                <c:pt idx="4">
                  <c:v>Mar-25</c:v>
                </c:pt>
              </c:strCache>
            </c:strRef>
          </c:cat>
          <c:val>
            <c:numRef>
              <c:f>'Profitability ratio'!$F$4:$F$9</c:f>
              <c:numCache>
                <c:formatCode>General</c:formatCode>
                <c:ptCount val="5"/>
                <c:pt idx="0">
                  <c:v>51.76</c:v>
                </c:pt>
                <c:pt idx="1">
                  <c:v>61.22</c:v>
                </c:pt>
                <c:pt idx="2">
                  <c:v>63.59</c:v>
                </c:pt>
                <c:pt idx="3">
                  <c:v>72.959999999999994</c:v>
                </c:pt>
                <c:pt idx="4">
                  <c:v>78.06</c:v>
                </c:pt>
              </c:numCache>
            </c:numRef>
          </c:val>
          <c:smooth val="0"/>
          <c:extLst>
            <c:ext xmlns:c16="http://schemas.microsoft.com/office/drawing/2014/chart" uri="{C3380CC4-5D6E-409C-BE32-E72D297353CC}">
              <c16:uniqueId val="{00000004-21C1-4403-A7F2-27F9C870D29A}"/>
            </c:ext>
          </c:extLst>
        </c:ser>
        <c:ser>
          <c:idx val="5"/>
          <c:order val="5"/>
          <c:tx>
            <c:strRef>
              <c:f>'Profitability ratio'!$G$3</c:f>
              <c:strCache>
                <c:ptCount val="1"/>
                <c:pt idx="0">
                  <c:v>RONW</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'Profitability ratio'!$A$4:$A$9</c:f>
              <c:strCache>
                <c:ptCount val="5"/>
                <c:pt idx="0">
                  <c:v>Mar-21</c:v>
                </c:pt>
                <c:pt idx="1">
                  <c:v>Mar-22</c:v>
                </c:pt>
                <c:pt idx="2">
                  <c:v>Mar-23</c:v>
                </c:pt>
                <c:pt idx="3">
                  <c:v>Mar-24</c:v>
                </c:pt>
                <c:pt idx="4">
                  <c:v>Mar-25</c:v>
                </c:pt>
              </c:strCache>
            </c:strRef>
          </c:cat>
          <c:val>
            <c:numRef>
              <c:f>'Profitability ratio'!$G$4:$G$9</c:f>
              <c:numCache>
                <c:formatCode>General</c:formatCode>
                <c:ptCount val="5"/>
                <c:pt idx="0">
                  <c:v>42.02</c:v>
                </c:pt>
                <c:pt idx="1">
                  <c:v>50.76</c:v>
                </c:pt>
                <c:pt idx="2">
                  <c:v>51.8</c:v>
                </c:pt>
                <c:pt idx="3">
                  <c:v>59.6</c:v>
                </c:pt>
                <c:pt idx="4">
                  <c:v>65.56</c:v>
                </c:pt>
              </c:numCache>
            </c:numRef>
          </c:val>
          <c:smooth val="0"/>
          <c:extLst>
            <c:ext xmlns:c16="http://schemas.microsoft.com/office/drawing/2014/chart" uri="{C3380CC4-5D6E-409C-BE32-E72D297353CC}">
              <c16:uniqueId val="{00000005-21C1-4403-A7F2-27F9C870D29A}"/>
            </c:ext>
          </c:extLst>
        </c:ser>
        <c:dLbls>
          <c:showLegendKey val="0"/>
          <c:showVal val="0"/>
          <c:showCatName val="0"/>
          <c:showSerName val="0"/>
          <c:showPercent val="0"/>
          <c:showBubbleSize val="0"/>
        </c:dLbls>
        <c:marker val="1"/>
        <c:smooth val="0"/>
        <c:axId val="21925023"/>
        <c:axId val="21912063"/>
      </c:lineChart>
      <c:catAx>
        <c:axId val="2192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12063"/>
        <c:crosses val="autoZero"/>
        <c:auto val="1"/>
        <c:lblAlgn val="ctr"/>
        <c:lblOffset val="100"/>
        <c:noMultiLvlLbl val="0"/>
      </c:catAx>
      <c:valAx>
        <c:axId val="2191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 25PGDM171.xlsx]Dupont ratio!PivotTable29</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86482939632541E-2"/>
          <c:y val="0.12397929425488481"/>
          <c:w val="0.54655796150481195"/>
          <c:h val="0.65853091280256637"/>
        </c:manualLayout>
      </c:layout>
      <c:lineChart>
        <c:grouping val="standard"/>
        <c:varyColors val="0"/>
        <c:ser>
          <c:idx val="0"/>
          <c:order val="0"/>
          <c:tx>
            <c:strRef>
              <c:f>'Dupont ratio'!$B$3</c:f>
              <c:strCache>
                <c:ptCount val="1"/>
                <c:pt idx="0">
                  <c:v> NP / PBT (X).</c:v>
                </c:pt>
              </c:strCache>
            </c:strRef>
          </c:tx>
          <c:spPr>
            <a:ln w="28575" cap="rnd">
              <a:solidFill>
                <a:schemeClr val="accent1"/>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ratio'!$B$4:$B$9</c:f>
              <c:numCache>
                <c:formatCode>General</c:formatCode>
                <c:ptCount val="5"/>
                <c:pt idx="0">
                  <c:v>0.76</c:v>
                </c:pt>
                <c:pt idx="1">
                  <c:v>0.77</c:v>
                </c:pt>
                <c:pt idx="2">
                  <c:v>0.76</c:v>
                </c:pt>
                <c:pt idx="3">
                  <c:v>0.76</c:v>
                </c:pt>
                <c:pt idx="4">
                  <c:v>0.77</c:v>
                </c:pt>
              </c:numCache>
            </c:numRef>
          </c:val>
          <c:smooth val="0"/>
          <c:extLst>
            <c:ext xmlns:c16="http://schemas.microsoft.com/office/drawing/2014/chart" uri="{C3380CC4-5D6E-409C-BE32-E72D297353CC}">
              <c16:uniqueId val="{00000000-541D-4883-BC0B-18AD9A8A34E9}"/>
            </c:ext>
          </c:extLst>
        </c:ser>
        <c:ser>
          <c:idx val="1"/>
          <c:order val="1"/>
          <c:tx>
            <c:strRef>
              <c:f>'Dupont ratio'!$C$3</c:f>
              <c:strCache>
                <c:ptCount val="1"/>
                <c:pt idx="0">
                  <c:v>PBT / EBIT (X).</c:v>
                </c:pt>
              </c:strCache>
            </c:strRef>
          </c:tx>
          <c:spPr>
            <a:ln w="28575" cap="rnd">
              <a:solidFill>
                <a:schemeClr val="accent2"/>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ratio'!$C$4:$C$9</c:f>
              <c:numCache>
                <c:formatCode>General</c:formatCode>
                <c:ptCount val="5"/>
                <c:pt idx="0">
                  <c:v>0.99</c:v>
                </c:pt>
                <c:pt idx="1">
                  <c:v>0.99</c:v>
                </c:pt>
                <c:pt idx="2">
                  <c:v>0.99</c:v>
                </c:pt>
                <c:pt idx="3">
                  <c:v>0.99</c:v>
                </c:pt>
                <c:pt idx="4">
                  <c:v>0.99</c:v>
                </c:pt>
              </c:numCache>
            </c:numRef>
          </c:val>
          <c:smooth val="0"/>
          <c:extLst>
            <c:ext xmlns:c16="http://schemas.microsoft.com/office/drawing/2014/chart" uri="{C3380CC4-5D6E-409C-BE32-E72D297353CC}">
              <c16:uniqueId val="{00000001-541D-4883-BC0B-18AD9A8A34E9}"/>
            </c:ext>
          </c:extLst>
        </c:ser>
        <c:ser>
          <c:idx val="2"/>
          <c:order val="2"/>
          <c:tx>
            <c:strRef>
              <c:f>'Dupont ratio'!$D$3</c:f>
              <c:strCache>
                <c:ptCount val="1"/>
                <c:pt idx="0">
                  <c:v>EBIT / Sales (X).</c:v>
                </c:pt>
              </c:strCache>
            </c:strRef>
          </c:tx>
          <c:spPr>
            <a:ln w="28575" cap="rnd">
              <a:solidFill>
                <a:schemeClr val="accent3"/>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ratio'!$D$4:$D$9</c:f>
              <c:numCache>
                <c:formatCode>General</c:formatCode>
                <c:ptCount val="5"/>
                <c:pt idx="0">
                  <c:v>0.3</c:v>
                </c:pt>
                <c:pt idx="1">
                  <c:v>0.31</c:v>
                </c:pt>
                <c:pt idx="2">
                  <c:v>0.28000000000000003</c:v>
                </c:pt>
                <c:pt idx="3">
                  <c:v>0.28999999999999998</c:v>
                </c:pt>
                <c:pt idx="4">
                  <c:v>0.28999999999999998</c:v>
                </c:pt>
              </c:numCache>
            </c:numRef>
          </c:val>
          <c:smooth val="0"/>
          <c:extLst>
            <c:ext xmlns:c16="http://schemas.microsoft.com/office/drawing/2014/chart" uri="{C3380CC4-5D6E-409C-BE32-E72D297353CC}">
              <c16:uniqueId val="{00000002-541D-4883-BC0B-18AD9A8A34E9}"/>
            </c:ext>
          </c:extLst>
        </c:ser>
        <c:ser>
          <c:idx val="3"/>
          <c:order val="3"/>
          <c:tx>
            <c:strRef>
              <c:f>'Dupont ratio'!$E$3</c:f>
              <c:strCache>
                <c:ptCount val="1"/>
                <c:pt idx="0">
                  <c:v>Sales / Assets (X).</c:v>
                </c:pt>
              </c:strCache>
            </c:strRef>
          </c:tx>
          <c:spPr>
            <a:ln w="28575" cap="rnd">
              <a:solidFill>
                <a:schemeClr val="accent4"/>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ratio'!$E$4:$E$9</c:f>
              <c:numCache>
                <c:formatCode>General</c:formatCode>
                <c:ptCount val="5"/>
                <c:pt idx="0">
                  <c:v>1.68</c:v>
                </c:pt>
                <c:pt idx="1">
                  <c:v>1.94</c:v>
                </c:pt>
                <c:pt idx="2">
                  <c:v>2.2999999999999998</c:v>
                </c:pt>
                <c:pt idx="3">
                  <c:v>2.5299999999999998</c:v>
                </c:pt>
                <c:pt idx="4">
                  <c:v>2.63</c:v>
                </c:pt>
              </c:numCache>
            </c:numRef>
          </c:val>
          <c:smooth val="0"/>
          <c:extLst>
            <c:ext xmlns:c16="http://schemas.microsoft.com/office/drawing/2014/chart" uri="{C3380CC4-5D6E-409C-BE32-E72D297353CC}">
              <c16:uniqueId val="{00000003-541D-4883-BC0B-18AD9A8A34E9}"/>
            </c:ext>
          </c:extLst>
        </c:ser>
        <c:ser>
          <c:idx val="4"/>
          <c:order val="4"/>
          <c:tx>
            <c:strRef>
              <c:f>'Dupont ratio'!$F$3</c:f>
              <c:strCache>
                <c:ptCount val="1"/>
                <c:pt idx="0">
                  <c:v>Assets / Equity (X).</c:v>
                </c:pt>
              </c:strCache>
            </c:strRef>
          </c:tx>
          <c:spPr>
            <a:ln w="28575" cap="rnd">
              <a:solidFill>
                <a:schemeClr val="accent5"/>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ratio'!$F$4:$F$9</c:f>
              <c:numCache>
                <c:formatCode>General</c:formatCode>
                <c:ptCount val="5"/>
                <c:pt idx="0">
                  <c:v>1.1000000000000001</c:v>
                </c:pt>
                <c:pt idx="1">
                  <c:v>1.1000000000000001</c:v>
                </c:pt>
                <c:pt idx="2">
                  <c:v>1.1000000000000001</c:v>
                </c:pt>
                <c:pt idx="3">
                  <c:v>1.1000000000000001</c:v>
                </c:pt>
                <c:pt idx="4">
                  <c:v>1.1100000000000001</c:v>
                </c:pt>
              </c:numCache>
            </c:numRef>
          </c:val>
          <c:smooth val="0"/>
          <c:extLst>
            <c:ext xmlns:c16="http://schemas.microsoft.com/office/drawing/2014/chart" uri="{C3380CC4-5D6E-409C-BE32-E72D297353CC}">
              <c16:uniqueId val="{00000004-541D-4883-BC0B-18AD9A8A34E9}"/>
            </c:ext>
          </c:extLst>
        </c:ser>
        <c:ser>
          <c:idx val="5"/>
          <c:order val="5"/>
          <c:tx>
            <c:strRef>
              <c:f>'Dupont ratio'!$G$3</c:f>
              <c:strCache>
                <c:ptCount val="1"/>
                <c:pt idx="0">
                  <c:v>ROE (X).</c:v>
                </c:pt>
              </c:strCache>
            </c:strRef>
          </c:tx>
          <c:spPr>
            <a:ln w="28575" cap="rnd">
              <a:solidFill>
                <a:schemeClr val="accent6"/>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ratio'!$G$4:$G$9</c:f>
              <c:numCache>
                <c:formatCode>General</c:formatCode>
                <c:ptCount val="5"/>
                <c:pt idx="0">
                  <c:v>0.42</c:v>
                </c:pt>
                <c:pt idx="1">
                  <c:v>0.51</c:v>
                </c:pt>
                <c:pt idx="2">
                  <c:v>0.52</c:v>
                </c:pt>
                <c:pt idx="3">
                  <c:v>0.6</c:v>
                </c:pt>
                <c:pt idx="4">
                  <c:v>0.66</c:v>
                </c:pt>
              </c:numCache>
            </c:numRef>
          </c:val>
          <c:smooth val="0"/>
          <c:extLst>
            <c:ext xmlns:c16="http://schemas.microsoft.com/office/drawing/2014/chart" uri="{C3380CC4-5D6E-409C-BE32-E72D297353CC}">
              <c16:uniqueId val="{00000005-541D-4883-BC0B-18AD9A8A34E9}"/>
            </c:ext>
          </c:extLst>
        </c:ser>
        <c:dLbls>
          <c:showLegendKey val="0"/>
          <c:showVal val="0"/>
          <c:showCatName val="0"/>
          <c:showSerName val="0"/>
          <c:showPercent val="0"/>
          <c:showBubbleSize val="0"/>
        </c:dLbls>
        <c:smooth val="0"/>
        <c:axId val="203984879"/>
        <c:axId val="203992079"/>
      </c:lineChart>
      <c:catAx>
        <c:axId val="20398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92079"/>
        <c:crosses val="autoZero"/>
        <c:auto val="1"/>
        <c:lblAlgn val="ctr"/>
        <c:lblOffset val="100"/>
        <c:noMultiLvlLbl val="0"/>
      </c:catAx>
      <c:valAx>
        <c:axId val="20399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 25PGDM171.xlsx]Dupont ratio!PivotTable29</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30927384077E-2"/>
          <c:y val="0.12397929425488481"/>
          <c:w val="0.54655796150481195"/>
          <c:h val="0.65853091280256637"/>
        </c:manualLayout>
      </c:layout>
      <c:lineChart>
        <c:grouping val="standard"/>
        <c:varyColors val="0"/>
        <c:ser>
          <c:idx val="0"/>
          <c:order val="0"/>
          <c:tx>
            <c:strRef>
              <c:f>'Dupont ratio'!$B$3</c:f>
              <c:strCache>
                <c:ptCount val="1"/>
                <c:pt idx="0">
                  <c:v> NP / PBT (X).</c:v>
                </c:pt>
              </c:strCache>
            </c:strRef>
          </c:tx>
          <c:spPr>
            <a:ln w="28575" cap="rnd">
              <a:solidFill>
                <a:schemeClr val="accent1"/>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ratio'!$B$4:$B$9</c:f>
              <c:numCache>
                <c:formatCode>General</c:formatCode>
                <c:ptCount val="5"/>
                <c:pt idx="0">
                  <c:v>0.76</c:v>
                </c:pt>
                <c:pt idx="1">
                  <c:v>0.77</c:v>
                </c:pt>
                <c:pt idx="2">
                  <c:v>0.76</c:v>
                </c:pt>
                <c:pt idx="3">
                  <c:v>0.76</c:v>
                </c:pt>
                <c:pt idx="4">
                  <c:v>0.77</c:v>
                </c:pt>
              </c:numCache>
            </c:numRef>
          </c:val>
          <c:smooth val="0"/>
          <c:extLst>
            <c:ext xmlns:c16="http://schemas.microsoft.com/office/drawing/2014/chart" uri="{C3380CC4-5D6E-409C-BE32-E72D297353CC}">
              <c16:uniqueId val="{00000000-37EA-4AB6-ADD1-963341DB23F7}"/>
            </c:ext>
          </c:extLst>
        </c:ser>
        <c:ser>
          <c:idx val="1"/>
          <c:order val="1"/>
          <c:tx>
            <c:strRef>
              <c:f>'Dupont ratio'!$C$3</c:f>
              <c:strCache>
                <c:ptCount val="1"/>
                <c:pt idx="0">
                  <c:v>PBT / EBIT (X).</c:v>
                </c:pt>
              </c:strCache>
            </c:strRef>
          </c:tx>
          <c:spPr>
            <a:ln w="28575" cap="rnd">
              <a:solidFill>
                <a:schemeClr val="accent2"/>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ratio'!$C$4:$C$9</c:f>
              <c:numCache>
                <c:formatCode>General</c:formatCode>
                <c:ptCount val="5"/>
                <c:pt idx="0">
                  <c:v>0.99</c:v>
                </c:pt>
                <c:pt idx="1">
                  <c:v>0.99</c:v>
                </c:pt>
                <c:pt idx="2">
                  <c:v>0.99</c:v>
                </c:pt>
                <c:pt idx="3">
                  <c:v>0.99</c:v>
                </c:pt>
                <c:pt idx="4">
                  <c:v>0.99</c:v>
                </c:pt>
              </c:numCache>
            </c:numRef>
          </c:val>
          <c:smooth val="0"/>
          <c:extLst>
            <c:ext xmlns:c16="http://schemas.microsoft.com/office/drawing/2014/chart" uri="{C3380CC4-5D6E-409C-BE32-E72D297353CC}">
              <c16:uniqueId val="{00000001-37EA-4AB6-ADD1-963341DB23F7}"/>
            </c:ext>
          </c:extLst>
        </c:ser>
        <c:ser>
          <c:idx val="2"/>
          <c:order val="2"/>
          <c:tx>
            <c:strRef>
              <c:f>'Dupont ratio'!$D$3</c:f>
              <c:strCache>
                <c:ptCount val="1"/>
                <c:pt idx="0">
                  <c:v>EBIT / Sales (X).</c:v>
                </c:pt>
              </c:strCache>
            </c:strRef>
          </c:tx>
          <c:spPr>
            <a:ln w="28575" cap="rnd">
              <a:solidFill>
                <a:schemeClr val="accent3"/>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ratio'!$D$4:$D$9</c:f>
              <c:numCache>
                <c:formatCode>General</c:formatCode>
                <c:ptCount val="5"/>
                <c:pt idx="0">
                  <c:v>0.3</c:v>
                </c:pt>
                <c:pt idx="1">
                  <c:v>0.31</c:v>
                </c:pt>
                <c:pt idx="2">
                  <c:v>0.28000000000000003</c:v>
                </c:pt>
                <c:pt idx="3">
                  <c:v>0.28999999999999998</c:v>
                </c:pt>
                <c:pt idx="4">
                  <c:v>0.28999999999999998</c:v>
                </c:pt>
              </c:numCache>
            </c:numRef>
          </c:val>
          <c:smooth val="0"/>
          <c:extLst>
            <c:ext xmlns:c16="http://schemas.microsoft.com/office/drawing/2014/chart" uri="{C3380CC4-5D6E-409C-BE32-E72D297353CC}">
              <c16:uniqueId val="{00000002-37EA-4AB6-ADD1-963341DB23F7}"/>
            </c:ext>
          </c:extLst>
        </c:ser>
        <c:ser>
          <c:idx val="3"/>
          <c:order val="3"/>
          <c:tx>
            <c:strRef>
              <c:f>'Dupont ratio'!$E$3</c:f>
              <c:strCache>
                <c:ptCount val="1"/>
                <c:pt idx="0">
                  <c:v>Sales / Assets (X).</c:v>
                </c:pt>
              </c:strCache>
            </c:strRef>
          </c:tx>
          <c:spPr>
            <a:ln w="28575" cap="rnd">
              <a:solidFill>
                <a:schemeClr val="accent4"/>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ratio'!$E$4:$E$9</c:f>
              <c:numCache>
                <c:formatCode>General</c:formatCode>
                <c:ptCount val="5"/>
                <c:pt idx="0">
                  <c:v>1.68</c:v>
                </c:pt>
                <c:pt idx="1">
                  <c:v>1.94</c:v>
                </c:pt>
                <c:pt idx="2">
                  <c:v>2.2999999999999998</c:v>
                </c:pt>
                <c:pt idx="3">
                  <c:v>2.5299999999999998</c:v>
                </c:pt>
                <c:pt idx="4">
                  <c:v>2.63</c:v>
                </c:pt>
              </c:numCache>
            </c:numRef>
          </c:val>
          <c:smooth val="0"/>
          <c:extLst>
            <c:ext xmlns:c16="http://schemas.microsoft.com/office/drawing/2014/chart" uri="{C3380CC4-5D6E-409C-BE32-E72D297353CC}">
              <c16:uniqueId val="{00000003-37EA-4AB6-ADD1-963341DB23F7}"/>
            </c:ext>
          </c:extLst>
        </c:ser>
        <c:ser>
          <c:idx val="4"/>
          <c:order val="4"/>
          <c:tx>
            <c:strRef>
              <c:f>'Dupont ratio'!$F$3</c:f>
              <c:strCache>
                <c:ptCount val="1"/>
                <c:pt idx="0">
                  <c:v>Assets / Equity (X).</c:v>
                </c:pt>
              </c:strCache>
            </c:strRef>
          </c:tx>
          <c:spPr>
            <a:ln w="28575" cap="rnd">
              <a:solidFill>
                <a:schemeClr val="accent5"/>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ratio'!$F$4:$F$9</c:f>
              <c:numCache>
                <c:formatCode>General</c:formatCode>
                <c:ptCount val="5"/>
                <c:pt idx="0">
                  <c:v>1.1000000000000001</c:v>
                </c:pt>
                <c:pt idx="1">
                  <c:v>1.1000000000000001</c:v>
                </c:pt>
                <c:pt idx="2">
                  <c:v>1.1000000000000001</c:v>
                </c:pt>
                <c:pt idx="3">
                  <c:v>1.1000000000000001</c:v>
                </c:pt>
                <c:pt idx="4">
                  <c:v>1.1100000000000001</c:v>
                </c:pt>
              </c:numCache>
            </c:numRef>
          </c:val>
          <c:smooth val="0"/>
          <c:extLst>
            <c:ext xmlns:c16="http://schemas.microsoft.com/office/drawing/2014/chart" uri="{C3380CC4-5D6E-409C-BE32-E72D297353CC}">
              <c16:uniqueId val="{00000004-37EA-4AB6-ADD1-963341DB23F7}"/>
            </c:ext>
          </c:extLst>
        </c:ser>
        <c:ser>
          <c:idx val="5"/>
          <c:order val="5"/>
          <c:tx>
            <c:strRef>
              <c:f>'Dupont ratio'!$G$3</c:f>
              <c:strCache>
                <c:ptCount val="1"/>
                <c:pt idx="0">
                  <c:v>ROE (X).</c:v>
                </c:pt>
              </c:strCache>
            </c:strRef>
          </c:tx>
          <c:spPr>
            <a:ln w="28575" cap="rnd">
              <a:solidFill>
                <a:schemeClr val="accent6"/>
              </a:solidFill>
              <a:round/>
            </a:ln>
            <a:effectLst/>
          </c:spPr>
          <c:marker>
            <c:symbol val="none"/>
          </c:marker>
          <c:cat>
            <c:strRef>
              <c:f>'Dupont ratio'!$A$4:$A$9</c:f>
              <c:strCache>
                <c:ptCount val="5"/>
                <c:pt idx="0">
                  <c:v>Mar-21</c:v>
                </c:pt>
                <c:pt idx="1">
                  <c:v>Mar-22</c:v>
                </c:pt>
                <c:pt idx="2">
                  <c:v>Mar-23</c:v>
                </c:pt>
                <c:pt idx="3">
                  <c:v>Mar-24</c:v>
                </c:pt>
                <c:pt idx="4">
                  <c:v>Mar-25</c:v>
                </c:pt>
              </c:strCache>
            </c:strRef>
          </c:cat>
          <c:val>
            <c:numRef>
              <c:f>'Dupont ratio'!$G$4:$G$9</c:f>
              <c:numCache>
                <c:formatCode>General</c:formatCode>
                <c:ptCount val="5"/>
                <c:pt idx="0">
                  <c:v>0.42</c:v>
                </c:pt>
                <c:pt idx="1">
                  <c:v>0.51</c:v>
                </c:pt>
                <c:pt idx="2">
                  <c:v>0.52</c:v>
                </c:pt>
                <c:pt idx="3">
                  <c:v>0.6</c:v>
                </c:pt>
                <c:pt idx="4">
                  <c:v>0.66</c:v>
                </c:pt>
              </c:numCache>
            </c:numRef>
          </c:val>
          <c:smooth val="0"/>
          <c:extLst>
            <c:ext xmlns:c16="http://schemas.microsoft.com/office/drawing/2014/chart" uri="{C3380CC4-5D6E-409C-BE32-E72D297353CC}">
              <c16:uniqueId val="{00000005-37EA-4AB6-ADD1-963341DB23F7}"/>
            </c:ext>
          </c:extLst>
        </c:ser>
        <c:dLbls>
          <c:showLegendKey val="0"/>
          <c:showVal val="0"/>
          <c:showCatName val="0"/>
          <c:showSerName val="0"/>
          <c:showPercent val="0"/>
          <c:showBubbleSize val="0"/>
        </c:dLbls>
        <c:smooth val="0"/>
        <c:axId val="203984879"/>
        <c:axId val="203992079"/>
      </c:lineChart>
      <c:catAx>
        <c:axId val="20398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92079"/>
        <c:crosses val="autoZero"/>
        <c:auto val="1"/>
        <c:lblAlgn val="ctr"/>
        <c:lblOffset val="100"/>
        <c:noMultiLvlLbl val="0"/>
      </c:catAx>
      <c:valAx>
        <c:axId val="20399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1630680</xdr:colOff>
      <xdr:row>10</xdr:row>
      <xdr:rowOff>41910</xdr:rowOff>
    </xdr:from>
    <xdr:to>
      <xdr:col>7</xdr:col>
      <xdr:colOff>502920</xdr:colOff>
      <xdr:row>25</xdr:row>
      <xdr:rowOff>41910</xdr:rowOff>
    </xdr:to>
    <xdr:graphicFrame macro="">
      <xdr:nvGraphicFramePr>
        <xdr:cNvPr id="8" name="Chart 7">
          <a:extLst>
            <a:ext uri="{FF2B5EF4-FFF2-40B4-BE49-F238E27FC236}">
              <a16:creationId xmlns:a16="http://schemas.microsoft.com/office/drawing/2014/main" id="{7B28365C-222B-2090-FB19-DD2659BB7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792480</xdr:colOff>
      <xdr:row>7</xdr:row>
      <xdr:rowOff>148590</xdr:rowOff>
    </xdr:from>
    <xdr:to>
      <xdr:col>9</xdr:col>
      <xdr:colOff>457200</xdr:colOff>
      <xdr:row>22</xdr:row>
      <xdr:rowOff>148590</xdr:rowOff>
    </xdr:to>
    <xdr:graphicFrame macro="">
      <xdr:nvGraphicFramePr>
        <xdr:cNvPr id="2" name="Chart 1">
          <a:extLst>
            <a:ext uri="{FF2B5EF4-FFF2-40B4-BE49-F238E27FC236}">
              <a16:creationId xmlns:a16="http://schemas.microsoft.com/office/drawing/2014/main" id="{0B5F6B99-3D6E-26E8-C920-60C10DE6B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205740</xdr:colOff>
      <xdr:row>5</xdr:row>
      <xdr:rowOff>160020</xdr:rowOff>
    </xdr:from>
    <xdr:to>
      <xdr:col>14</xdr:col>
      <xdr:colOff>205740</xdr:colOff>
      <xdr:row>19</xdr:row>
      <xdr:rowOff>66675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40B15CD-61C9-C9AA-1ADA-A98E49EC703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481060" y="1074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457200</xdr:colOff>
      <xdr:row>7</xdr:row>
      <xdr:rowOff>99060</xdr:rowOff>
    </xdr:from>
    <xdr:to>
      <xdr:col>17</xdr:col>
      <xdr:colOff>457200</xdr:colOff>
      <xdr:row>21</xdr:row>
      <xdr:rowOff>5715</xdr:rowOff>
    </xdr:to>
    <mc:AlternateContent xmlns:mc="http://schemas.openxmlformats.org/markup-compatibility/2006" xmlns:a14="http://schemas.microsoft.com/office/drawing/2010/main">
      <mc:Choice Requires="a14">
        <xdr:graphicFrame macro="">
          <xdr:nvGraphicFramePr>
            <xdr:cNvPr id="4" name="Current Ratio">
              <a:extLst>
                <a:ext uri="{FF2B5EF4-FFF2-40B4-BE49-F238E27FC236}">
                  <a16:creationId xmlns:a16="http://schemas.microsoft.com/office/drawing/2014/main" id="{E023E2D6-3BE1-020C-3E72-55349DC5EAD4}"/>
                </a:ext>
              </a:extLst>
            </xdr:cNvPr>
            <xdr:cNvGraphicFramePr/>
          </xdr:nvGraphicFramePr>
          <xdr:xfrm>
            <a:off x="0" y="0"/>
            <a:ext cx="0" cy="0"/>
          </xdr:xfrm>
          <a:graphic>
            <a:graphicData uri="http://schemas.microsoft.com/office/drawing/2010/slicer">
              <sle:slicer xmlns:sle="http://schemas.microsoft.com/office/drawing/2010/slicer" name="Current Ratio"/>
            </a:graphicData>
          </a:graphic>
        </xdr:graphicFrame>
      </mc:Choice>
      <mc:Fallback xmlns="">
        <xdr:sp macro="" textlink="">
          <xdr:nvSpPr>
            <xdr:cNvPr id="0" name=""/>
            <xdr:cNvSpPr>
              <a:spLocks noTextEdit="1"/>
            </xdr:cNvSpPr>
          </xdr:nvSpPr>
          <xdr:spPr>
            <a:xfrm>
              <a:off x="1056132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1935480</xdr:colOff>
      <xdr:row>10</xdr:row>
      <xdr:rowOff>80010</xdr:rowOff>
    </xdr:from>
    <xdr:to>
      <xdr:col>4</xdr:col>
      <xdr:colOff>457200</xdr:colOff>
      <xdr:row>25</xdr:row>
      <xdr:rowOff>80010</xdr:rowOff>
    </xdr:to>
    <xdr:graphicFrame macro="">
      <xdr:nvGraphicFramePr>
        <xdr:cNvPr id="2" name="Chart 1">
          <a:extLst>
            <a:ext uri="{FF2B5EF4-FFF2-40B4-BE49-F238E27FC236}">
              <a16:creationId xmlns:a16="http://schemas.microsoft.com/office/drawing/2014/main" id="{8950DD60-3060-A493-E751-DA986294C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1379220</xdr:colOff>
      <xdr:row>11</xdr:row>
      <xdr:rowOff>137160</xdr:rowOff>
    </xdr:from>
    <xdr:to>
      <xdr:col>7</xdr:col>
      <xdr:colOff>411480</xdr:colOff>
      <xdr:row>25</xdr:row>
      <xdr:rowOff>43815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47F0E42A-179E-5741-8B44-87D39D190AC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290560" y="2148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493334</xdr:colOff>
      <xdr:row>2</xdr:row>
      <xdr:rowOff>1</xdr:rowOff>
    </xdr:from>
    <xdr:to>
      <xdr:col>29</xdr:col>
      <xdr:colOff>384754</xdr:colOff>
      <xdr:row>59</xdr:row>
      <xdr:rowOff>121921</xdr:rowOff>
    </xdr:to>
    <xdr:sp macro="" textlink="">
      <xdr:nvSpPr>
        <xdr:cNvPr id="3" name="Rectangle: Rounded Corners 2">
          <a:extLst>
            <a:ext uri="{FF2B5EF4-FFF2-40B4-BE49-F238E27FC236}">
              <a16:creationId xmlns:a16="http://schemas.microsoft.com/office/drawing/2014/main" id="{A43A869E-43B7-60DE-6C2B-E5543E212C60}"/>
            </a:ext>
          </a:extLst>
        </xdr:cNvPr>
        <xdr:cNvSpPr/>
      </xdr:nvSpPr>
      <xdr:spPr>
        <a:xfrm>
          <a:off x="493334" y="375479"/>
          <a:ext cx="17505768" cy="10823051"/>
        </a:xfrm>
        <a:prstGeom prst="round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88901</xdr:colOff>
      <xdr:row>34</xdr:row>
      <xdr:rowOff>110836</xdr:rowOff>
    </xdr:from>
    <xdr:to>
      <xdr:col>28</xdr:col>
      <xdr:colOff>415637</xdr:colOff>
      <xdr:row>58</xdr:row>
      <xdr:rowOff>69273</xdr:rowOff>
    </xdr:to>
    <xdr:sp macro="" textlink="">
      <xdr:nvSpPr>
        <xdr:cNvPr id="13" name="Rectangle: Rounded Corners 12">
          <a:extLst>
            <a:ext uri="{FF2B5EF4-FFF2-40B4-BE49-F238E27FC236}">
              <a16:creationId xmlns:a16="http://schemas.microsoft.com/office/drawing/2014/main" id="{9F9C317E-F4C1-7750-2D64-FDDECF5200E9}"/>
            </a:ext>
          </a:extLst>
        </xdr:cNvPr>
        <xdr:cNvSpPr/>
      </xdr:nvSpPr>
      <xdr:spPr>
        <a:xfrm>
          <a:off x="11061701" y="6156036"/>
          <a:ext cx="6422736" cy="42256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Times New Roman" panose="02020603050405020304" pitchFamily="18" charset="0"/>
              <a:cs typeface="Times New Roman" panose="02020603050405020304" pitchFamily="18" charset="0"/>
            </a:rPr>
            <a:t>Solvency Ratio</a:t>
          </a:r>
        </a:p>
      </xdr:txBody>
    </xdr:sp>
    <xdr:clientData/>
  </xdr:twoCellAnchor>
  <xdr:twoCellAnchor>
    <xdr:from>
      <xdr:col>1</xdr:col>
      <xdr:colOff>374073</xdr:colOff>
      <xdr:row>33</xdr:row>
      <xdr:rowOff>55418</xdr:rowOff>
    </xdr:from>
    <xdr:to>
      <xdr:col>12</xdr:col>
      <xdr:colOff>498764</xdr:colOff>
      <xdr:row>57</xdr:row>
      <xdr:rowOff>152400</xdr:rowOff>
    </xdr:to>
    <xdr:sp macro="" textlink="">
      <xdr:nvSpPr>
        <xdr:cNvPr id="12" name="Rectangle: Rounded Corners 11">
          <a:extLst>
            <a:ext uri="{FF2B5EF4-FFF2-40B4-BE49-F238E27FC236}">
              <a16:creationId xmlns:a16="http://schemas.microsoft.com/office/drawing/2014/main" id="{CCDFBCE4-D0D6-02F7-3AD4-55F5E788D89D}"/>
            </a:ext>
          </a:extLst>
        </xdr:cNvPr>
        <xdr:cNvSpPr/>
      </xdr:nvSpPr>
      <xdr:spPr>
        <a:xfrm>
          <a:off x="983673" y="5999018"/>
          <a:ext cx="6830291" cy="441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bg1"/>
              </a:solidFill>
              <a:latin typeface="Times New Roman" panose="02020603050405020304" pitchFamily="18" charset="0"/>
              <a:cs typeface="Times New Roman" panose="02020603050405020304" pitchFamily="18" charset="0"/>
            </a:rPr>
            <a:t>Profitability Ratio</a:t>
          </a:r>
        </a:p>
      </xdr:txBody>
    </xdr:sp>
    <xdr:clientData/>
  </xdr:twoCellAnchor>
  <xdr:twoCellAnchor>
    <xdr:from>
      <xdr:col>4</xdr:col>
      <xdr:colOff>562841</xdr:colOff>
      <xdr:row>2</xdr:row>
      <xdr:rowOff>116257</xdr:rowOff>
    </xdr:from>
    <xdr:to>
      <xdr:col>25</xdr:col>
      <xdr:colOff>581891</xdr:colOff>
      <xdr:row>8</xdr:row>
      <xdr:rowOff>55297</xdr:rowOff>
    </xdr:to>
    <xdr:sp macro="" textlink="">
      <xdr:nvSpPr>
        <xdr:cNvPr id="4" name="Rectangle: Rounded Corners 3">
          <a:extLst>
            <a:ext uri="{FF2B5EF4-FFF2-40B4-BE49-F238E27FC236}">
              <a16:creationId xmlns:a16="http://schemas.microsoft.com/office/drawing/2014/main" id="{D13420BB-44FF-9C80-7DBE-EAAE1C5AF525}"/>
            </a:ext>
          </a:extLst>
        </xdr:cNvPr>
        <xdr:cNvSpPr/>
      </xdr:nvSpPr>
      <xdr:spPr>
        <a:xfrm>
          <a:off x="2992406" y="491735"/>
          <a:ext cx="12774268" cy="1065475"/>
        </a:xfrm>
        <a:prstGeom prst="roundRect">
          <a:avLst/>
        </a:prstGeom>
        <a:solidFill>
          <a:schemeClr val="accent2">
            <a:lumMod val="7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6000" b="1"/>
            <a:t>Ratio Analysis of TCS (2021-2025)</a:t>
          </a:r>
          <a:endParaRPr lang="en-IN" sz="1100" b="1"/>
        </a:p>
      </xdr:txBody>
    </xdr:sp>
    <xdr:clientData/>
  </xdr:twoCellAnchor>
  <xdr:twoCellAnchor>
    <xdr:from>
      <xdr:col>1</xdr:col>
      <xdr:colOff>346364</xdr:colOff>
      <xdr:row>8</xdr:row>
      <xdr:rowOff>83128</xdr:rowOff>
    </xdr:from>
    <xdr:to>
      <xdr:col>12</xdr:col>
      <xdr:colOff>581890</xdr:colOff>
      <xdr:row>32</xdr:row>
      <xdr:rowOff>96982</xdr:rowOff>
    </xdr:to>
    <xdr:sp macro="" textlink="">
      <xdr:nvSpPr>
        <xdr:cNvPr id="5" name="Rectangle: Rounded Corners 4">
          <a:extLst>
            <a:ext uri="{FF2B5EF4-FFF2-40B4-BE49-F238E27FC236}">
              <a16:creationId xmlns:a16="http://schemas.microsoft.com/office/drawing/2014/main" id="{4C4C4778-F330-25A7-72DF-72CF090ACC7B}"/>
            </a:ext>
          </a:extLst>
        </xdr:cNvPr>
        <xdr:cNvSpPr/>
      </xdr:nvSpPr>
      <xdr:spPr>
        <a:xfrm>
          <a:off x="955964" y="1524001"/>
          <a:ext cx="6941126" cy="43364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latin typeface="Times New Roman" panose="02020603050405020304" pitchFamily="18" charset="0"/>
              <a:cs typeface="Times New Roman" panose="02020603050405020304" pitchFamily="18" charset="0"/>
            </a:rPr>
            <a:t>Efficiency</a:t>
          </a:r>
          <a:r>
            <a:rPr lang="en-IN" sz="2400" b="1" baseline="0">
              <a:latin typeface="Times New Roman" panose="02020603050405020304" pitchFamily="18" charset="0"/>
              <a:cs typeface="Times New Roman" panose="02020603050405020304" pitchFamily="18" charset="0"/>
            </a:rPr>
            <a:t> Ratio</a:t>
          </a:r>
          <a:endParaRPr lang="en-IN" sz="2400" b="1">
            <a:latin typeface="Times New Roman" panose="02020603050405020304" pitchFamily="18" charset="0"/>
            <a:cs typeface="Times New Roman" panose="02020603050405020304" pitchFamily="18" charset="0"/>
          </a:endParaRPr>
        </a:p>
      </xdr:txBody>
    </xdr:sp>
    <xdr:clientData/>
  </xdr:twoCellAnchor>
  <xdr:twoCellAnchor>
    <xdr:from>
      <xdr:col>18</xdr:col>
      <xdr:colOff>17318</xdr:colOff>
      <xdr:row>8</xdr:row>
      <xdr:rowOff>93520</xdr:rowOff>
    </xdr:from>
    <xdr:to>
      <xdr:col>28</xdr:col>
      <xdr:colOff>498763</xdr:colOff>
      <xdr:row>33</xdr:row>
      <xdr:rowOff>41565</xdr:rowOff>
    </xdr:to>
    <xdr:sp macro="" textlink="">
      <xdr:nvSpPr>
        <xdr:cNvPr id="6" name="Rectangle: Rounded Corners 5">
          <a:extLst>
            <a:ext uri="{FF2B5EF4-FFF2-40B4-BE49-F238E27FC236}">
              <a16:creationId xmlns:a16="http://schemas.microsoft.com/office/drawing/2014/main" id="{394C9F55-02B7-DDEE-FD03-28C3E3C972D1}"/>
            </a:ext>
          </a:extLst>
        </xdr:cNvPr>
        <xdr:cNvSpPr/>
      </xdr:nvSpPr>
      <xdr:spPr>
        <a:xfrm>
          <a:off x="10990118" y="1534393"/>
          <a:ext cx="6577445" cy="44507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Times New Roman" panose="02020603050405020304" pitchFamily="18" charset="0"/>
              <a:cs typeface="Times New Roman" panose="02020603050405020304" pitchFamily="18" charset="0"/>
            </a:rPr>
            <a:t>Liquidity Ratio</a:t>
          </a:r>
        </a:p>
      </xdr:txBody>
    </xdr:sp>
    <xdr:clientData/>
  </xdr:twoCellAnchor>
  <xdr:twoCellAnchor>
    <xdr:from>
      <xdr:col>1</xdr:col>
      <xdr:colOff>540528</xdr:colOff>
      <xdr:row>11</xdr:row>
      <xdr:rowOff>176699</xdr:rowOff>
    </xdr:from>
    <xdr:to>
      <xdr:col>12</xdr:col>
      <xdr:colOff>287131</xdr:colOff>
      <xdr:row>31</xdr:row>
      <xdr:rowOff>33130</xdr:rowOff>
    </xdr:to>
    <xdr:graphicFrame macro="">
      <xdr:nvGraphicFramePr>
        <xdr:cNvPr id="7" name="Chart 6">
          <a:extLst>
            <a:ext uri="{FF2B5EF4-FFF2-40B4-BE49-F238E27FC236}">
              <a16:creationId xmlns:a16="http://schemas.microsoft.com/office/drawing/2014/main" id="{24B023BC-7207-4F34-9A59-AA3A7546C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86942</xdr:colOff>
      <xdr:row>12</xdr:row>
      <xdr:rowOff>41566</xdr:rowOff>
    </xdr:from>
    <xdr:to>
      <xdr:col>26</xdr:col>
      <xdr:colOff>452783</xdr:colOff>
      <xdr:row>30</xdr:row>
      <xdr:rowOff>44174</xdr:rowOff>
    </xdr:to>
    <xdr:graphicFrame macro="">
      <xdr:nvGraphicFramePr>
        <xdr:cNvPr id="8" name="Chart 7">
          <a:extLst>
            <a:ext uri="{FF2B5EF4-FFF2-40B4-BE49-F238E27FC236}">
              <a16:creationId xmlns:a16="http://schemas.microsoft.com/office/drawing/2014/main" id="{8015471E-EF31-423B-B967-F29B720DE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512619</xdr:colOff>
      <xdr:row>36</xdr:row>
      <xdr:rowOff>124691</xdr:rowOff>
    </xdr:from>
    <xdr:to>
      <xdr:col>12</xdr:col>
      <xdr:colOff>290945</xdr:colOff>
      <xdr:row>56</xdr:row>
      <xdr:rowOff>110836</xdr:rowOff>
    </xdr:to>
    <xdr:graphicFrame macro="">
      <xdr:nvGraphicFramePr>
        <xdr:cNvPr id="9" name="Chart 8">
          <a:extLst>
            <a:ext uri="{FF2B5EF4-FFF2-40B4-BE49-F238E27FC236}">
              <a16:creationId xmlns:a16="http://schemas.microsoft.com/office/drawing/2014/main" id="{5020B140-321D-42D9-A4B0-697A85660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69273</xdr:colOff>
      <xdr:row>22</xdr:row>
      <xdr:rowOff>19050</xdr:rowOff>
    </xdr:from>
    <xdr:to>
      <xdr:col>17</xdr:col>
      <xdr:colOff>471055</xdr:colOff>
      <xdr:row>48</xdr:row>
      <xdr:rowOff>110836</xdr:rowOff>
    </xdr:to>
    <mc:AlternateContent xmlns:mc="http://schemas.openxmlformats.org/markup-compatibility/2006" xmlns:a14="http://schemas.microsoft.com/office/drawing/2010/main">
      <mc:Choice Requires="a14">
        <xdr:graphicFrame macro="">
          <xdr:nvGraphicFramePr>
            <xdr:cNvPr id="10" name="Year 2">
              <a:extLst>
                <a:ext uri="{FF2B5EF4-FFF2-40B4-BE49-F238E27FC236}">
                  <a16:creationId xmlns:a16="http://schemas.microsoft.com/office/drawing/2014/main" id="{3C834C6C-8F63-4A4E-9A69-DC20E8EE75B6}"/>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7919311" y="4130975"/>
              <a:ext cx="2817178" cy="495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203201</xdr:colOff>
      <xdr:row>38</xdr:row>
      <xdr:rowOff>69272</xdr:rowOff>
    </xdr:from>
    <xdr:to>
      <xdr:col>28</xdr:col>
      <xdr:colOff>290945</xdr:colOff>
      <xdr:row>57</xdr:row>
      <xdr:rowOff>114300</xdr:rowOff>
    </xdr:to>
    <xdr:graphicFrame macro="">
      <xdr:nvGraphicFramePr>
        <xdr:cNvPr id="11" name="Chart 10">
          <a:extLst>
            <a:ext uri="{FF2B5EF4-FFF2-40B4-BE49-F238E27FC236}">
              <a16:creationId xmlns:a16="http://schemas.microsoft.com/office/drawing/2014/main" id="{DDE06F0E-BE1D-48E1-B4CA-F41C40AD0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519044</xdr:colOff>
      <xdr:row>14</xdr:row>
      <xdr:rowOff>110434</xdr:rowOff>
    </xdr:from>
    <xdr:to>
      <xdr:col>28</xdr:col>
      <xdr:colOff>474869</xdr:colOff>
      <xdr:row>27</xdr:row>
      <xdr:rowOff>136800</xdr:rowOff>
    </xdr:to>
    <mc:AlternateContent xmlns:mc="http://schemas.openxmlformats.org/markup-compatibility/2006" xmlns:a14="http://schemas.microsoft.com/office/drawing/2010/main">
      <mc:Choice Requires="a14">
        <xdr:graphicFrame macro="">
          <xdr:nvGraphicFramePr>
            <xdr:cNvPr id="15" name="Current Ratio 1">
              <a:extLst>
                <a:ext uri="{FF2B5EF4-FFF2-40B4-BE49-F238E27FC236}">
                  <a16:creationId xmlns:a16="http://schemas.microsoft.com/office/drawing/2014/main" id="{097E4019-240A-4D78-AAF6-26374A87D8FB}"/>
                </a:ext>
              </a:extLst>
            </xdr:cNvPr>
            <xdr:cNvGraphicFramePr/>
          </xdr:nvGraphicFramePr>
          <xdr:xfrm>
            <a:off x="0" y="0"/>
            <a:ext cx="0" cy="0"/>
          </xdr:xfrm>
          <a:graphic>
            <a:graphicData uri="http://schemas.microsoft.com/office/drawing/2010/slicer">
              <sle:slicer xmlns:sle="http://schemas.microsoft.com/office/drawing/2010/slicer" name="Current Ratio 1"/>
            </a:graphicData>
          </a:graphic>
        </xdr:graphicFrame>
      </mc:Choice>
      <mc:Fallback xmlns="">
        <xdr:sp macro="" textlink="">
          <xdr:nvSpPr>
            <xdr:cNvPr id="0" name=""/>
            <xdr:cNvSpPr>
              <a:spLocks noTextEdit="1"/>
            </xdr:cNvSpPr>
          </xdr:nvSpPr>
          <xdr:spPr>
            <a:xfrm>
              <a:off x="16219119" y="2727113"/>
              <a:ext cx="1163524" cy="2456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396240</xdr:colOff>
      <xdr:row>10</xdr:row>
      <xdr:rowOff>148590</xdr:rowOff>
    </xdr:from>
    <xdr:to>
      <xdr:col>12</xdr:col>
      <xdr:colOff>472440</xdr:colOff>
      <xdr:row>25</xdr:row>
      <xdr:rowOff>148590</xdr:rowOff>
    </xdr:to>
    <xdr:graphicFrame macro="">
      <xdr:nvGraphicFramePr>
        <xdr:cNvPr id="2" name="Chart 1">
          <a:extLst>
            <a:ext uri="{FF2B5EF4-FFF2-40B4-BE49-F238E27FC236}">
              <a16:creationId xmlns:a16="http://schemas.microsoft.com/office/drawing/2014/main" id="{99392766-2391-F2E4-35BB-06C6C3BAB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1203960</xdr:colOff>
      <xdr:row>9</xdr:row>
      <xdr:rowOff>156210</xdr:rowOff>
    </xdr:from>
    <xdr:to>
      <xdr:col>5</xdr:col>
      <xdr:colOff>335280</xdr:colOff>
      <xdr:row>24</xdr:row>
      <xdr:rowOff>156210</xdr:rowOff>
    </xdr:to>
    <xdr:graphicFrame macro="">
      <xdr:nvGraphicFramePr>
        <xdr:cNvPr id="4" name="Chart 3">
          <a:extLst>
            <a:ext uri="{FF2B5EF4-FFF2-40B4-BE49-F238E27FC236}">
              <a16:creationId xmlns:a16="http://schemas.microsoft.com/office/drawing/2014/main" id="{876060FD-0AA8-E491-D6A8-B19F9305F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716280</xdr:colOff>
      <xdr:row>10</xdr:row>
      <xdr:rowOff>45720</xdr:rowOff>
    </xdr:from>
    <xdr:to>
      <xdr:col>8</xdr:col>
      <xdr:colOff>236220</xdr:colOff>
      <xdr:row>23</xdr:row>
      <xdr:rowOff>135255</xdr:rowOff>
    </xdr:to>
    <mc:AlternateContent xmlns:mc="http://schemas.openxmlformats.org/markup-compatibility/2006" xmlns:a14="http://schemas.microsoft.com/office/drawing/2010/main">
      <mc:Choice Requires="a14">
        <xdr:graphicFrame macro="">
          <xdr:nvGraphicFramePr>
            <xdr:cNvPr id="6" name="Year 3">
              <a:extLst>
                <a:ext uri="{FF2B5EF4-FFF2-40B4-BE49-F238E27FC236}">
                  <a16:creationId xmlns:a16="http://schemas.microsoft.com/office/drawing/2014/main" id="{56866BDD-AE41-B59C-E234-33E30C67EAEC}"/>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7018020" y="1874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106680</xdr:colOff>
      <xdr:row>1</xdr:row>
      <xdr:rowOff>76200</xdr:rowOff>
    </xdr:from>
    <xdr:to>
      <xdr:col>18</xdr:col>
      <xdr:colOff>381000</xdr:colOff>
      <xdr:row>29</xdr:row>
      <xdr:rowOff>167640</xdr:rowOff>
    </xdr:to>
    <xdr:sp macro="" textlink="">
      <xdr:nvSpPr>
        <xdr:cNvPr id="2" name="Rectangle: Rounded Corners 1">
          <a:extLst>
            <a:ext uri="{FF2B5EF4-FFF2-40B4-BE49-F238E27FC236}">
              <a16:creationId xmlns:a16="http://schemas.microsoft.com/office/drawing/2014/main" id="{6E3B1949-64EF-B50E-6BAF-8CA1C547DB16}"/>
            </a:ext>
          </a:extLst>
        </xdr:cNvPr>
        <xdr:cNvSpPr/>
      </xdr:nvSpPr>
      <xdr:spPr>
        <a:xfrm>
          <a:off x="716280" y="259080"/>
          <a:ext cx="10637520" cy="52120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579120</xdr:colOff>
      <xdr:row>8</xdr:row>
      <xdr:rowOff>160020</xdr:rowOff>
    </xdr:from>
    <xdr:to>
      <xdr:col>17</xdr:col>
      <xdr:colOff>381000</xdr:colOff>
      <xdr:row>26</xdr:row>
      <xdr:rowOff>167640</xdr:rowOff>
    </xdr:to>
    <xdr:sp macro="" textlink="">
      <xdr:nvSpPr>
        <xdr:cNvPr id="5" name="Rectangle: Rounded Corners 4">
          <a:extLst>
            <a:ext uri="{FF2B5EF4-FFF2-40B4-BE49-F238E27FC236}">
              <a16:creationId xmlns:a16="http://schemas.microsoft.com/office/drawing/2014/main" id="{764C7297-308D-6E3F-A08A-086A7C1B78FC}"/>
            </a:ext>
          </a:extLst>
        </xdr:cNvPr>
        <xdr:cNvSpPr/>
      </xdr:nvSpPr>
      <xdr:spPr>
        <a:xfrm>
          <a:off x="5455920" y="1623060"/>
          <a:ext cx="5288280" cy="3299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160020</xdr:colOff>
      <xdr:row>2</xdr:row>
      <xdr:rowOff>76200</xdr:rowOff>
    </xdr:from>
    <xdr:to>
      <xdr:col>16</xdr:col>
      <xdr:colOff>259080</xdr:colOff>
      <xdr:row>6</xdr:row>
      <xdr:rowOff>60960</xdr:rowOff>
    </xdr:to>
    <xdr:sp macro="" textlink="">
      <xdr:nvSpPr>
        <xdr:cNvPr id="3" name="Rectangle: Rounded Corners 2">
          <a:extLst>
            <a:ext uri="{FF2B5EF4-FFF2-40B4-BE49-F238E27FC236}">
              <a16:creationId xmlns:a16="http://schemas.microsoft.com/office/drawing/2014/main" id="{794E4FCF-1CD0-7045-669E-0A9ADBD60E20}"/>
            </a:ext>
          </a:extLst>
        </xdr:cNvPr>
        <xdr:cNvSpPr/>
      </xdr:nvSpPr>
      <xdr:spPr>
        <a:xfrm>
          <a:off x="1988820" y="441960"/>
          <a:ext cx="8023860" cy="71628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3600" b="1">
              <a:solidFill>
                <a:schemeClr val="bg1"/>
              </a:solidFill>
              <a:latin typeface="Times New Roman" panose="02020603050405020304" pitchFamily="18" charset="0"/>
              <a:cs typeface="Times New Roman" panose="02020603050405020304" pitchFamily="18" charset="0"/>
            </a:rPr>
            <a:t>Dupont Analysis</a:t>
          </a:r>
          <a:r>
            <a:rPr lang="en-IN" sz="3600" b="1" baseline="0">
              <a:solidFill>
                <a:schemeClr val="bg1"/>
              </a:solidFill>
              <a:latin typeface="Times New Roman" panose="02020603050405020304" pitchFamily="18" charset="0"/>
              <a:cs typeface="Times New Roman" panose="02020603050405020304" pitchFamily="18" charset="0"/>
            </a:rPr>
            <a:t> (2021-2025)</a:t>
          </a:r>
          <a:endParaRPr lang="en-IN" sz="3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320040</xdr:colOff>
      <xdr:row>10</xdr:row>
      <xdr:rowOff>83820</xdr:rowOff>
    </xdr:from>
    <xdr:to>
      <xdr:col>17</xdr:col>
      <xdr:colOff>15240</xdr:colOff>
      <xdr:row>25</xdr:row>
      <xdr:rowOff>83820</xdr:rowOff>
    </xdr:to>
    <xdr:graphicFrame macro="">
      <xdr:nvGraphicFramePr>
        <xdr:cNvPr id="4" name="Chart 3">
          <a:extLst>
            <a:ext uri="{FF2B5EF4-FFF2-40B4-BE49-F238E27FC236}">
              <a16:creationId xmlns:a16="http://schemas.microsoft.com/office/drawing/2014/main" id="{D5EF638A-74DA-4838-8B1C-577932F06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7620</xdr:colOff>
      <xdr:row>10</xdr:row>
      <xdr:rowOff>0</xdr:rowOff>
    </xdr:from>
    <xdr:to>
      <xdr:col>6</xdr:col>
      <xdr:colOff>449580</xdr:colOff>
      <xdr:row>24</xdr:row>
      <xdr:rowOff>106680</xdr:rowOff>
    </xdr:to>
    <mc:AlternateContent xmlns:mc="http://schemas.openxmlformats.org/markup-compatibility/2006" xmlns:a14="http://schemas.microsoft.com/office/drawing/2010/main">
      <mc:Choice Requires="a14">
        <xdr:graphicFrame macro="">
          <xdr:nvGraphicFramePr>
            <xdr:cNvPr id="7" name="Year 4">
              <a:extLst>
                <a:ext uri="{FF2B5EF4-FFF2-40B4-BE49-F238E27FC236}">
                  <a16:creationId xmlns:a16="http://schemas.microsoft.com/office/drawing/2014/main" id="{CF46A522-885B-48E8-8142-20CABAB2B64F}"/>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836420" y="1828800"/>
              <a:ext cx="227076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5908.997925231481" createdVersion="8" refreshedVersion="8" minRefreshableVersion="3" recordCount="5" xr:uid="{D00289E0-3CBA-4411-B09F-4F22E080183D}">
  <cacheSource type="worksheet">
    <worksheetSource ref="A2:O7" sheet="Clean Data "/>
  </cacheSource>
  <cacheFields count="15">
    <cacheField name="Year" numFmtId="17">
      <sharedItems count="5">
        <s v="Mar-25"/>
        <s v="Mar-24"/>
        <s v="Mar-23"/>
        <s v="Mar-22"/>
        <s v="Mar-21"/>
      </sharedItems>
    </cacheField>
    <cacheField name="Debt-Equity Ratio" numFmtId="0">
      <sharedItems containsSemiMixedTypes="0" containsString="0" containsNumber="1" minValue="0.08" maxValue="0.09" count="2">
        <n v="0.09"/>
        <n v="0.08"/>
      </sharedItems>
    </cacheField>
    <cacheField name="Long Term Debt-Equity Ratio" numFmtId="0">
      <sharedItems containsSemiMixedTypes="0" containsString="0" containsNumber="1" minValue="0.06" maxValue="0.08" count="3">
        <n v="0.08"/>
        <n v="7.0000000000000007E-2"/>
        <n v="0.06"/>
      </sharedItems>
    </cacheField>
    <cacheField name="Interest Cover Ratio" numFmtId="0">
      <sharedItems containsSemiMixedTypes="0" containsString="0" containsNumber="1" minValue="75.37" maxValue="103.31" count="5">
        <n v="90.12"/>
        <n v="86.59"/>
        <n v="75.37"/>
        <n v="103.31"/>
        <n v="77.17"/>
      </sharedItems>
    </cacheField>
    <cacheField name="Current Ratio" numFmtId="0">
      <sharedItems containsSemiMixedTypes="0" containsString="0" containsNumber="1" minValue="1.52" maxValue="2.11" count="5">
        <n v="1.55"/>
        <n v="1.52"/>
        <n v="1.63"/>
        <n v="1.87"/>
        <n v="2.11"/>
      </sharedItems>
    </cacheField>
    <cacheField name="Fixed Assets Turnover Ratio" numFmtId="0">
      <sharedItems containsSemiMixedTypes="0" containsString="0" containsNumber="1" minValue="4.49" maxValue="5.62"/>
    </cacheField>
    <cacheField name="Inventory Turnover Ratio" numFmtId="0">
      <sharedItems containsSemiMixedTypes="0" containsString="0" containsNumber="1" minValue="1.82" maxValue="2.84"/>
    </cacheField>
    <cacheField name="Debtors Turnover Ratio" numFmtId="0">
      <sharedItems containsSemiMixedTypes="0" containsString="0" containsNumber="1" minValue="4.3899999999999997" maxValue="5.23"/>
    </cacheField>
    <cacheField name="Total Asset Turnover Ratio" numFmtId="0">
      <sharedItems containsSemiMixedTypes="0" containsString="0" containsNumber="1" minValue="1.68" maxValue="2.63"/>
    </cacheField>
    <cacheField name="PBIDTM (%)" numFmtId="0">
      <sharedItems containsSemiMixedTypes="0" containsString="0" containsNumber="1" minValue="29.59" maxValue="33.51"/>
    </cacheField>
    <cacheField name="PBITM (%)" numFmtId="0">
      <sharedItems containsSemiMixedTypes="0" containsString="0" containsNumber="1" minValue="27.52" maxValue="31.31"/>
    </cacheField>
    <cacheField name="PBDTM (%)" numFmtId="0">
      <sharedItems containsSemiMixedTypes="0" containsString="0" containsNumber="1" minValue="29.22" maxValue="33.21"/>
    </cacheField>
    <cacheField name="APATM (%)" numFmtId="0">
      <sharedItems containsSemiMixedTypes="0" containsString="0" containsNumber="1" minValue="20.54" maxValue="23.82"/>
    </cacheField>
    <cacheField name="ROCE (%)" numFmtId="0">
      <sharedItems containsSemiMixedTypes="0" containsString="0" containsNumber="1" minValue="51.76" maxValue="78.06"/>
    </cacheField>
    <cacheField name="RONW (%)" numFmtId="0">
      <sharedItems containsSemiMixedTypes="0" containsString="0" containsNumber="1" minValue="42.02" maxValue="65.56"/>
    </cacheField>
  </cacheFields>
  <extLst>
    <ext xmlns:x14="http://schemas.microsoft.com/office/spreadsheetml/2009/9/main" uri="{725AE2AE-9491-48be-B2B4-4EB974FC3084}">
      <x14:pivotCacheDefinition pivotCacheId="16020234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refreshedDate="45909.055606365742" createdVersion="8" refreshedVersion="8" minRefreshableVersion="3" recordCount="5" xr:uid="{474487B9-B078-4978-A2CE-5C7ABFFFAAD4}">
  <cacheSource type="worksheet">
    <worksheetSource ref="A10:G15" sheet="Dupont"/>
  </cacheSource>
  <cacheFields count="7">
    <cacheField name="Year" numFmtId="17">
      <sharedItems count="5">
        <s v="Mar-25"/>
        <s v="Mar-24"/>
        <s v="Mar-23"/>
        <s v="Mar-22"/>
        <s v="Mar-21"/>
      </sharedItems>
    </cacheField>
    <cacheField name="NP / PBT (X)" numFmtId="0">
      <sharedItems containsSemiMixedTypes="0" containsString="0" containsNumber="1" minValue="0.76" maxValue="0.77"/>
    </cacheField>
    <cacheField name="PBT / EBIT (X)" numFmtId="0">
      <sharedItems containsSemiMixedTypes="0" containsString="0" containsNumber="1" minValue="0.99" maxValue="0.99"/>
    </cacheField>
    <cacheField name="EBIT / Sales (X)" numFmtId="0">
      <sharedItems containsSemiMixedTypes="0" containsString="0" containsNumber="1" minValue="0.28000000000000003" maxValue="0.31"/>
    </cacheField>
    <cacheField name="Sales / Assets (X)" numFmtId="0">
      <sharedItems containsSemiMixedTypes="0" containsString="0" containsNumber="1" minValue="1.68" maxValue="2.63"/>
    </cacheField>
    <cacheField name="Assets / Equity (X)" numFmtId="0">
      <sharedItems containsSemiMixedTypes="0" containsString="0" containsNumber="1" minValue="1.1000000000000001" maxValue="1.1100000000000001"/>
    </cacheField>
    <cacheField name="ROE (X)" numFmtId="0">
      <sharedItems containsSemiMixedTypes="0" containsString="0" containsNumber="1" minValue="0.42" maxValue="0.66"/>
    </cacheField>
  </cacheFields>
  <extLst>
    <ext xmlns:x14="http://schemas.microsoft.com/office/spreadsheetml/2009/9/main" uri="{725AE2AE-9491-48be-B2B4-4EB974FC3084}">
      <x14:pivotCacheDefinition pivotCacheId="578980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n v="5.59"/>
    <n v="2.84"/>
    <n v="4.3899999999999997"/>
    <n v="2.63"/>
    <n v="31.45"/>
    <n v="29.49"/>
    <n v="31.12"/>
    <n v="22.37"/>
    <n v="78.06"/>
    <n v="65.56"/>
  </r>
  <r>
    <x v="1"/>
    <x v="1"/>
    <x v="1"/>
    <x v="1"/>
    <x v="1"/>
    <n v="5.62"/>
    <n v="2.81"/>
    <n v="4.55"/>
    <n v="2.5299999999999998"/>
    <n v="30.72"/>
    <n v="28.8"/>
    <n v="30.39"/>
    <n v="21.53"/>
    <n v="72.959999999999994"/>
    <n v="59.6"/>
  </r>
  <r>
    <x v="2"/>
    <x v="1"/>
    <x v="2"/>
    <x v="2"/>
    <x v="2"/>
    <n v="5.56"/>
    <n v="2.5499999999999998"/>
    <n v="4.83"/>
    <n v="2.2999999999999998"/>
    <n v="29.59"/>
    <n v="27.52"/>
    <n v="29.22"/>
    <n v="20.54"/>
    <n v="63.59"/>
    <n v="51.8"/>
  </r>
  <r>
    <x v="3"/>
    <x v="1"/>
    <x v="1"/>
    <x v="3"/>
    <x v="3"/>
    <n v="4.95"/>
    <n v="2.08"/>
    <n v="5.23"/>
    <n v="1.94"/>
    <n v="33.51"/>
    <n v="31.31"/>
    <n v="33.21"/>
    <n v="23.82"/>
    <n v="61.22"/>
    <n v="50.76"/>
  </r>
  <r>
    <x v="4"/>
    <x v="1"/>
    <x v="1"/>
    <x v="4"/>
    <x v="4"/>
    <n v="4.49"/>
    <n v="1.82"/>
    <n v="5.05"/>
    <n v="1.68"/>
    <n v="32.72"/>
    <n v="30.48"/>
    <n v="32.33"/>
    <n v="22.77"/>
    <n v="51.76"/>
    <n v="42.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77"/>
    <n v="0.99"/>
    <n v="0.28999999999999998"/>
    <n v="2.63"/>
    <n v="1.1100000000000001"/>
    <n v="0.66"/>
  </r>
  <r>
    <x v="1"/>
    <n v="0.76"/>
    <n v="0.99"/>
    <n v="0.28999999999999998"/>
    <n v="2.5299999999999998"/>
    <n v="1.1000000000000001"/>
    <n v="0.6"/>
  </r>
  <r>
    <x v="2"/>
    <n v="0.76"/>
    <n v="0.99"/>
    <n v="0.28000000000000003"/>
    <n v="2.2999999999999998"/>
    <n v="1.1000000000000001"/>
    <n v="0.52"/>
  </r>
  <r>
    <x v="3"/>
    <n v="0.77"/>
    <n v="0.99"/>
    <n v="0.31"/>
    <n v="1.94"/>
    <n v="1.1000000000000001"/>
    <n v="0.51"/>
  </r>
  <r>
    <x v="4"/>
    <n v="0.76"/>
    <n v="0.99"/>
    <n v="0.3"/>
    <n v="1.68"/>
    <n v="1.1000000000000001"/>
    <n v="0.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405C9D-A586-4806-AFAD-EC0EA0FDD04D}"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9" firstHeaderRow="0" firstDataRow="1" firstDataCol="1"/>
  <pivotFields count="15">
    <pivotField axis="axisRow" showAll="0">
      <items count="6">
        <item x="4"/>
        <item x="3"/>
        <item x="2"/>
        <item x="1"/>
        <item x="0"/>
        <item t="default"/>
      </items>
    </pivotField>
    <pivotField dataField="1" showAll="0">
      <items count="3">
        <item x="1"/>
        <item x="0"/>
        <item t="default"/>
      </items>
    </pivotField>
    <pivotField dataField="1" showAll="0">
      <items count="4">
        <item x="2"/>
        <item x="1"/>
        <item x="0"/>
        <item t="default"/>
      </items>
    </pivotField>
    <pivotField dataField="1" showAll="0">
      <items count="6">
        <item x="2"/>
        <item x="4"/>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i>
    <i>
      <x v="1"/>
    </i>
    <i>
      <x v="2"/>
    </i>
    <i>
      <x v="3"/>
    </i>
    <i>
      <x v="4"/>
    </i>
    <i t="grand">
      <x/>
    </i>
  </rowItems>
  <colFields count="1">
    <field x="-2"/>
  </colFields>
  <colItems count="3">
    <i>
      <x/>
    </i>
    <i i="1">
      <x v="1"/>
    </i>
    <i i="2">
      <x v="2"/>
    </i>
  </colItems>
  <dataFields count="3">
    <dataField name="Debt-Equity Ratio." fld="1" baseField="0" baseItem="0"/>
    <dataField name="Long Term Debt-Equity Ratio." fld="2" baseField="0" baseItem="0"/>
    <dataField name="Interest Cover Ratio." fld="3"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5E16C5-7ED1-43AD-8CBD-21D54B9E307B}"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5">
    <pivotField axis="axisRow" showAll="0">
      <items count="6">
        <item x="4"/>
        <item x="3"/>
        <item x="2"/>
        <item x="1"/>
        <item x="0"/>
        <item t="default"/>
      </items>
    </pivotField>
    <pivotField showAll="0"/>
    <pivotField showAll="0"/>
    <pivotField showAll="0"/>
    <pivotField dataField="1"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6">
    <i>
      <x/>
    </i>
    <i>
      <x v="1"/>
    </i>
    <i>
      <x v="2"/>
    </i>
    <i>
      <x v="3"/>
    </i>
    <i>
      <x v="4"/>
    </i>
    <i t="grand">
      <x/>
    </i>
  </rowItems>
  <colItems count="1">
    <i/>
  </colItems>
  <dataFields count="1">
    <dataField name="Current Ratio." fld="4"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5C3484-CAF9-4B0C-BA29-5EA64CA3077B}"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9" firstHeaderRow="0" firstDataRow="1" firstDataCol="1"/>
  <pivotFields count="15">
    <pivotField axis="axisRow" showAll="0">
      <items count="6">
        <item x="4"/>
        <item x="3"/>
        <item x="2"/>
        <item x="1"/>
        <item x="0"/>
        <item t="default"/>
      </items>
    </pivotField>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s>
  <rowFields count="1">
    <field x="0"/>
  </rowFields>
  <rowItems count="6">
    <i>
      <x/>
    </i>
    <i>
      <x v="1"/>
    </i>
    <i>
      <x v="2"/>
    </i>
    <i>
      <x v="3"/>
    </i>
    <i>
      <x v="4"/>
    </i>
    <i t="grand">
      <x/>
    </i>
  </rowItems>
  <colFields count="1">
    <field x="-2"/>
  </colFields>
  <colItems count="4">
    <i>
      <x/>
    </i>
    <i i="1">
      <x v="1"/>
    </i>
    <i i="2">
      <x v="2"/>
    </i>
    <i i="3">
      <x v="3"/>
    </i>
  </colItems>
  <dataFields count="4">
    <dataField name="Total Asset Turnover Ratio." fld="8" baseField="0" baseItem="0"/>
    <dataField name="Fixed Assets Turnover Ratio." fld="5" baseField="0" baseItem="0"/>
    <dataField name="Debtors Turnover Ratio." fld="7" baseField="0" baseItem="0"/>
    <dataField name="Inventory Turnover Ratio." fld="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1EEABA-1BCC-4E58-8D13-5EC9B203CF63}" name="PivotTable2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9" firstHeaderRow="0" firstDataRow="1" firstDataCol="1"/>
  <pivotFields count="15">
    <pivotField axis="axisRow" showAll="0">
      <items count="6">
        <item x="4"/>
        <item x="3"/>
        <item x="2"/>
        <item x="1"/>
        <item x="0"/>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6">
    <i>
      <x/>
    </i>
    <i i="1">
      <x v="1"/>
    </i>
    <i i="2">
      <x v="2"/>
    </i>
    <i i="3">
      <x v="3"/>
    </i>
    <i i="4">
      <x v="4"/>
    </i>
    <i i="5">
      <x v="5"/>
    </i>
  </colItems>
  <dataFields count="6">
    <dataField name="PBIDTM" fld="9" baseField="0" baseItem="0"/>
    <dataField name="PBITM" fld="10" baseField="0" baseItem="0"/>
    <dataField name="PBDTM" fld="11" baseField="0" baseItem="0"/>
    <dataField name="APATM" fld="12" baseField="0" baseItem="0"/>
    <dataField name=" ROCE" fld="13" baseField="0" baseItem="0"/>
    <dataField name="RONW" fld="14"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4"/>
          </reference>
        </references>
      </pivotArea>
    </chartFormat>
    <chartFormat chart="5"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072628-0206-47F5-BEF4-6DFF388210C4}" name="PivotTable2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G9" firstHeaderRow="0" firstDataRow="1" firstDataCol="1"/>
  <pivotFields count="7">
    <pivotField axis="axisRow" showAll="0">
      <items count="6">
        <item x="4"/>
        <item x="3"/>
        <item x="2"/>
        <item x="1"/>
        <item x="0"/>
        <item t="default"/>
      </items>
    </pivotField>
    <pivotField dataField="1" showAll="0"/>
    <pivotField dataField="1" showAll="0"/>
    <pivotField dataField="1"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6">
    <i>
      <x/>
    </i>
    <i i="1">
      <x v="1"/>
    </i>
    <i i="2">
      <x v="2"/>
    </i>
    <i i="3">
      <x v="3"/>
    </i>
    <i i="4">
      <x v="4"/>
    </i>
    <i i="5">
      <x v="5"/>
    </i>
  </colItems>
  <dataFields count="6">
    <dataField name=" NP / PBT (X)." fld="1" baseField="0" baseItem="0"/>
    <dataField name="PBT / EBIT (X)." fld="2" baseField="0" baseItem="0"/>
    <dataField name="EBIT / Sales (X)." fld="3" baseField="0" baseItem="0"/>
    <dataField name="Sales / Assets (X)." fld="4" baseField="0" baseItem="0"/>
    <dataField name="Assets / Equity (X)." fld="5" baseField="0" baseItem="0"/>
    <dataField name="ROE (X)." fld="6"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4"/>
          </reference>
        </references>
      </pivotArea>
    </chartFormat>
    <chartFormat chart="5" format="17" series="1">
      <pivotArea type="data" outline="0" fieldPosition="0">
        <references count="1">
          <reference field="4294967294" count="1" selected="0">
            <x v="5"/>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 chart="7" format="15" series="1">
      <pivotArea type="data" outline="0" fieldPosition="0">
        <references count="1">
          <reference field="4294967294" count="1" selected="0">
            <x v="3"/>
          </reference>
        </references>
      </pivotArea>
    </chartFormat>
    <chartFormat chart="7" format="16" series="1">
      <pivotArea type="data" outline="0" fieldPosition="0">
        <references count="1">
          <reference field="4294967294" count="1" selected="0">
            <x v="4"/>
          </reference>
        </references>
      </pivotArea>
    </chartFormat>
    <chartFormat chart="7"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01F3892-6F76-46BE-8AA9-4F900B1283DC}" sourceName="Year">
  <pivotTables>
    <pivotTable tabId="8" name="PivotTable22"/>
    <pivotTable tabId="6" name="PivotTable19"/>
    <pivotTable tabId="7" name="PivotTable21"/>
    <pivotTable tabId="9" name="PivotTable23"/>
  </pivotTables>
  <data>
    <tabular pivotCacheId="1602023486">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BE48075-A66F-4590-BA52-15BEF76438B3}" sourceName="Year">
  <pivotTables>
    <pivotTable tabId="13" name="PivotTable29"/>
  </pivotTables>
  <data>
    <tabular pivotCacheId="578980583">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Ratio" xr10:uid="{C31D96DE-AF85-49BF-A0F1-987402982F87}" sourceName="Current Ratio">
  <pivotTables>
    <pivotTable tabId="7" name="PivotTable21"/>
  </pivotTables>
  <data>
    <tabular pivotCacheId="1602023486">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F3F88C-C1A3-4419-A8EB-21B00D187BD0}" cache="Slicer_Year1" caption="Year" rowHeight="234950"/>
  <slicer name="Current Ratio" xr10:uid="{69FB9671-A6D6-41F0-B59C-F106E7C918C2}" cache="Slicer_Current_Ratio" caption="Current Ratio"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951296F-490E-48F7-BCA5-F5B5B13B1B1F}" cache="Slicer_Year1"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9F74100-B7C2-40A3-8524-F8311313CB8A}" cache="Slicer_Year1" caption="Year" rowHeight="234950"/>
  <slicer name="Current Ratio 1" xr10:uid="{59979087-1259-4694-81B9-067788069CA9}" cache="Slicer_Current_Ratio" caption="Current Ratio"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056F36CF-F801-4586-8A7B-5075B8EF5AA0}" cache="Slicer_Year" caption="Yea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1805D98B-72AD-489C-A301-45A48BBF7A88}"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033FE-3D8B-44EE-B6CA-3EECE14EF737}">
  <dimension ref="A1:G15"/>
  <sheetViews>
    <sheetView workbookViewId="0">
      <selection activeCell="B1" sqref="B1"/>
    </sheetView>
  </sheetViews>
  <sheetFormatPr defaultRowHeight="14.4" x14ac:dyDescent="0.3"/>
  <cols>
    <col min="1" max="1" width="20.109375" customWidth="1"/>
    <col min="2" max="2" width="24.6640625" bestFit="1" customWidth="1"/>
    <col min="3" max="3" width="12.77734375" customWidth="1"/>
  </cols>
  <sheetData>
    <row r="1" spans="1:7" x14ac:dyDescent="0.3">
      <c r="A1" s="1" t="s">
        <v>0</v>
      </c>
      <c r="B1" s="2" t="s">
        <v>1</v>
      </c>
      <c r="C1" s="3" t="s">
        <v>2</v>
      </c>
      <c r="D1" s="3" t="s">
        <v>3</v>
      </c>
      <c r="E1" s="3" t="s">
        <v>4</v>
      </c>
      <c r="F1" s="3" t="s">
        <v>5</v>
      </c>
      <c r="G1" s="3" t="s">
        <v>6</v>
      </c>
    </row>
    <row r="2" spans="1:7" x14ac:dyDescent="0.3">
      <c r="A2" s="4" t="s">
        <v>7</v>
      </c>
      <c r="B2" t="s">
        <v>8</v>
      </c>
      <c r="C2">
        <v>0.09</v>
      </c>
      <c r="D2">
        <v>0.08</v>
      </c>
      <c r="E2">
        <v>0.08</v>
      </c>
      <c r="F2">
        <v>0.08</v>
      </c>
      <c r="G2">
        <v>0.08</v>
      </c>
    </row>
    <row r="3" spans="1:7" x14ac:dyDescent="0.3">
      <c r="A3" s="4" t="s">
        <v>7</v>
      </c>
      <c r="B3" t="s">
        <v>9</v>
      </c>
      <c r="C3">
        <v>0.08</v>
      </c>
      <c r="D3">
        <v>7.0000000000000007E-2</v>
      </c>
      <c r="E3">
        <v>0.06</v>
      </c>
      <c r="F3">
        <v>7.0000000000000007E-2</v>
      </c>
      <c r="G3">
        <v>7.0000000000000007E-2</v>
      </c>
    </row>
    <row r="4" spans="1:7" x14ac:dyDescent="0.3">
      <c r="A4" s="4" t="s">
        <v>7</v>
      </c>
      <c r="B4" t="s">
        <v>10</v>
      </c>
      <c r="C4">
        <v>90.12</v>
      </c>
      <c r="D4">
        <v>86.59</v>
      </c>
      <c r="E4">
        <v>75.37</v>
      </c>
      <c r="F4">
        <v>103.31</v>
      </c>
      <c r="G4">
        <v>77.17</v>
      </c>
    </row>
    <row r="5" spans="1:7" x14ac:dyDescent="0.3">
      <c r="A5" s="5" t="s">
        <v>11</v>
      </c>
      <c r="B5" t="s">
        <v>12</v>
      </c>
      <c r="C5">
        <v>1.55</v>
      </c>
      <c r="D5">
        <v>1.52</v>
      </c>
      <c r="E5">
        <v>1.63</v>
      </c>
      <c r="F5">
        <v>1.87</v>
      </c>
      <c r="G5">
        <v>2.11</v>
      </c>
    </row>
    <row r="6" spans="1:7" x14ac:dyDescent="0.3">
      <c r="A6" s="4" t="s">
        <v>13</v>
      </c>
      <c r="B6" t="s">
        <v>14</v>
      </c>
      <c r="C6">
        <v>5.59</v>
      </c>
      <c r="D6">
        <v>5.62</v>
      </c>
      <c r="E6">
        <v>5.56</v>
      </c>
      <c r="F6">
        <v>4.95</v>
      </c>
      <c r="G6">
        <v>4.49</v>
      </c>
    </row>
    <row r="7" spans="1:7" ht="15" thickBot="1" x14ac:dyDescent="0.35">
      <c r="A7" s="4" t="s">
        <v>13</v>
      </c>
      <c r="B7" t="s">
        <v>15</v>
      </c>
      <c r="C7" s="6">
        <v>2.84</v>
      </c>
      <c r="D7" s="6">
        <v>2.81</v>
      </c>
      <c r="E7" s="6">
        <v>2.5499999999999998</v>
      </c>
      <c r="F7" s="6">
        <v>2.08</v>
      </c>
      <c r="G7" s="6">
        <v>1.82</v>
      </c>
    </row>
    <row r="8" spans="1:7" x14ac:dyDescent="0.3">
      <c r="A8" s="4" t="s">
        <v>13</v>
      </c>
      <c r="B8" t="s">
        <v>16</v>
      </c>
      <c r="C8">
        <v>4.3899999999999997</v>
      </c>
      <c r="D8">
        <v>4.55</v>
      </c>
      <c r="E8">
        <v>4.83</v>
      </c>
      <c r="F8">
        <v>5.23</v>
      </c>
      <c r="G8">
        <v>5.05</v>
      </c>
    </row>
    <row r="9" spans="1:7" x14ac:dyDescent="0.3">
      <c r="A9" s="4" t="s">
        <v>13</v>
      </c>
      <c r="B9" t="s">
        <v>17</v>
      </c>
      <c r="C9">
        <v>2.63</v>
      </c>
      <c r="D9">
        <v>2.5299999999999998</v>
      </c>
      <c r="E9">
        <v>2.2999999999999998</v>
      </c>
      <c r="F9">
        <v>1.94</v>
      </c>
      <c r="G9">
        <v>1.68</v>
      </c>
    </row>
    <row r="10" spans="1:7" x14ac:dyDescent="0.3">
      <c r="A10" s="4" t="s">
        <v>18</v>
      </c>
      <c r="B10" t="s">
        <v>19</v>
      </c>
      <c r="C10">
        <v>31.45</v>
      </c>
      <c r="D10">
        <v>30.72</v>
      </c>
      <c r="E10">
        <v>29.59</v>
      </c>
      <c r="F10">
        <v>33.51</v>
      </c>
      <c r="G10">
        <v>32.72</v>
      </c>
    </row>
    <row r="11" spans="1:7" x14ac:dyDescent="0.3">
      <c r="A11" s="4" t="s">
        <v>18</v>
      </c>
      <c r="B11" t="s">
        <v>20</v>
      </c>
      <c r="C11">
        <v>29.49</v>
      </c>
      <c r="D11">
        <v>28.8</v>
      </c>
      <c r="E11">
        <v>27.52</v>
      </c>
      <c r="F11">
        <v>31.31</v>
      </c>
      <c r="G11">
        <v>30.48</v>
      </c>
    </row>
    <row r="12" spans="1:7" x14ac:dyDescent="0.3">
      <c r="A12" s="4" t="s">
        <v>18</v>
      </c>
      <c r="B12" t="s">
        <v>21</v>
      </c>
      <c r="C12">
        <v>31.12</v>
      </c>
      <c r="D12">
        <v>30.39</v>
      </c>
      <c r="E12">
        <v>29.22</v>
      </c>
      <c r="F12">
        <v>33.21</v>
      </c>
      <c r="G12">
        <v>32.33</v>
      </c>
    </row>
    <row r="13" spans="1:7" x14ac:dyDescent="0.3">
      <c r="A13" s="4" t="s">
        <v>18</v>
      </c>
      <c r="B13" t="s">
        <v>22</v>
      </c>
      <c r="C13">
        <v>22.37</v>
      </c>
      <c r="D13">
        <v>21.53</v>
      </c>
      <c r="E13">
        <v>20.54</v>
      </c>
      <c r="F13">
        <v>23.82</v>
      </c>
      <c r="G13">
        <v>22.77</v>
      </c>
    </row>
    <row r="14" spans="1:7" x14ac:dyDescent="0.3">
      <c r="A14" s="4" t="s">
        <v>18</v>
      </c>
      <c r="B14" t="s">
        <v>23</v>
      </c>
      <c r="C14">
        <v>78.06</v>
      </c>
      <c r="D14">
        <v>72.959999999999994</v>
      </c>
      <c r="E14">
        <v>63.59</v>
      </c>
      <c r="F14">
        <v>61.22</v>
      </c>
      <c r="G14">
        <v>51.76</v>
      </c>
    </row>
    <row r="15" spans="1:7" x14ac:dyDescent="0.3">
      <c r="A15" s="4" t="s">
        <v>18</v>
      </c>
      <c r="B15" t="s">
        <v>24</v>
      </c>
      <c r="C15">
        <v>65.56</v>
      </c>
      <c r="D15">
        <v>59.6</v>
      </c>
      <c r="E15">
        <v>51.8</v>
      </c>
      <c r="F15">
        <v>50.76</v>
      </c>
      <c r="G15">
        <v>42.02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89A1A-2108-4326-9276-BB74CBE22499}">
  <dimension ref="A3:D18"/>
  <sheetViews>
    <sheetView workbookViewId="0">
      <selection activeCell="D3" sqref="D3"/>
    </sheetView>
  </sheetViews>
  <sheetFormatPr defaultRowHeight="14.4" x14ac:dyDescent="0.3"/>
  <cols>
    <col min="1" max="1" width="12.5546875" bestFit="1" customWidth="1"/>
    <col min="2" max="2" width="16.44140625" bestFit="1" customWidth="1"/>
    <col min="3" max="3" width="26.109375" bestFit="1" customWidth="1"/>
    <col min="4" max="4" width="18.33203125" bestFit="1" customWidth="1"/>
  </cols>
  <sheetData>
    <row r="3" spans="1:4" x14ac:dyDescent="0.3">
      <c r="A3" s="11" t="s">
        <v>26</v>
      </c>
      <c r="B3" t="s">
        <v>45</v>
      </c>
      <c r="C3" t="s">
        <v>46</v>
      </c>
      <c r="D3" t="s">
        <v>47</v>
      </c>
    </row>
    <row r="4" spans="1:4" x14ac:dyDescent="0.3">
      <c r="A4" s="12" t="s">
        <v>6</v>
      </c>
      <c r="B4" s="33">
        <v>0.08</v>
      </c>
      <c r="C4" s="33">
        <v>7.0000000000000007E-2</v>
      </c>
      <c r="D4" s="33">
        <v>77.17</v>
      </c>
    </row>
    <row r="5" spans="1:4" x14ac:dyDescent="0.3">
      <c r="A5" s="12" t="s">
        <v>5</v>
      </c>
      <c r="B5" s="33">
        <v>0.08</v>
      </c>
      <c r="C5" s="33">
        <v>7.0000000000000007E-2</v>
      </c>
      <c r="D5" s="33">
        <v>103.31</v>
      </c>
    </row>
    <row r="6" spans="1:4" x14ac:dyDescent="0.3">
      <c r="A6" s="12" t="s">
        <v>4</v>
      </c>
      <c r="B6" s="33">
        <v>0.08</v>
      </c>
      <c r="C6" s="33">
        <v>0.06</v>
      </c>
      <c r="D6" s="33">
        <v>75.37</v>
      </c>
    </row>
    <row r="7" spans="1:4" x14ac:dyDescent="0.3">
      <c r="A7" s="12" t="s">
        <v>3</v>
      </c>
      <c r="B7" s="33">
        <v>0.08</v>
      </c>
      <c r="C7" s="33">
        <v>7.0000000000000007E-2</v>
      </c>
      <c r="D7" s="33">
        <v>86.59</v>
      </c>
    </row>
    <row r="8" spans="1:4" x14ac:dyDescent="0.3">
      <c r="A8" s="12" t="s">
        <v>2</v>
      </c>
      <c r="B8" s="33">
        <v>0.09</v>
      </c>
      <c r="C8" s="33">
        <v>0.08</v>
      </c>
      <c r="D8" s="33">
        <v>90.12</v>
      </c>
    </row>
    <row r="9" spans="1:4" x14ac:dyDescent="0.3">
      <c r="A9" s="12" t="s">
        <v>27</v>
      </c>
      <c r="B9" s="33">
        <v>0.41000000000000003</v>
      </c>
      <c r="C9" s="33">
        <v>0.35000000000000003</v>
      </c>
      <c r="D9" s="33">
        <v>432.56000000000006</v>
      </c>
    </row>
    <row r="12" spans="1:4" x14ac:dyDescent="0.3">
      <c r="A12" s="10"/>
      <c r="B12" s="10"/>
      <c r="C12" s="10"/>
      <c r="D12" s="10"/>
    </row>
    <row r="13" spans="1:4" x14ac:dyDescent="0.3">
      <c r="A13" s="12"/>
    </row>
    <row r="14" spans="1:4" x14ac:dyDescent="0.3">
      <c r="A14" s="14"/>
    </row>
    <row r="15" spans="1:4" x14ac:dyDescent="0.3">
      <c r="A15" s="12"/>
    </row>
    <row r="16" spans="1:4" x14ac:dyDescent="0.3">
      <c r="A16" s="12"/>
    </row>
    <row r="17" spans="1:4" x14ac:dyDescent="0.3">
      <c r="A17" s="12"/>
    </row>
    <row r="18" spans="1:4" x14ac:dyDescent="0.3">
      <c r="A18" s="13"/>
      <c r="B18" s="15"/>
      <c r="C18" s="15"/>
      <c r="D18" s="15"/>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3625-0A51-4054-A702-7982184E2C50}">
  <dimension ref="A3:B9"/>
  <sheetViews>
    <sheetView workbookViewId="0">
      <selection activeCell="B3" sqref="B3"/>
    </sheetView>
  </sheetViews>
  <sheetFormatPr defaultRowHeight="14.4" x14ac:dyDescent="0.3"/>
  <cols>
    <col min="1" max="1" width="12.5546875" bestFit="1" customWidth="1"/>
    <col min="2" max="2" width="12.6640625" bestFit="1" customWidth="1"/>
    <col min="3" max="3" width="18.21875" bestFit="1" customWidth="1"/>
  </cols>
  <sheetData>
    <row r="3" spans="1:2" x14ac:dyDescent="0.3">
      <c r="A3" s="11" t="s">
        <v>26</v>
      </c>
      <c r="B3" t="s">
        <v>44</v>
      </c>
    </row>
    <row r="4" spans="1:2" x14ac:dyDescent="0.3">
      <c r="A4" s="12" t="s">
        <v>6</v>
      </c>
      <c r="B4" s="33">
        <v>2.11</v>
      </c>
    </row>
    <row r="5" spans="1:2" x14ac:dyDescent="0.3">
      <c r="A5" s="12" t="s">
        <v>5</v>
      </c>
      <c r="B5" s="33">
        <v>1.87</v>
      </c>
    </row>
    <row r="6" spans="1:2" x14ac:dyDescent="0.3">
      <c r="A6" s="12" t="s">
        <v>4</v>
      </c>
      <c r="B6" s="33">
        <v>1.63</v>
      </c>
    </row>
    <row r="7" spans="1:2" x14ac:dyDescent="0.3">
      <c r="A7" s="12" t="s">
        <v>3</v>
      </c>
      <c r="B7" s="33">
        <v>1.52</v>
      </c>
    </row>
    <row r="8" spans="1:2" x14ac:dyDescent="0.3">
      <c r="A8" s="12" t="s">
        <v>2</v>
      </c>
      <c r="B8" s="33">
        <v>1.55</v>
      </c>
    </row>
    <row r="9" spans="1:2" x14ac:dyDescent="0.3">
      <c r="A9" s="12" t="s">
        <v>27</v>
      </c>
      <c r="B9" s="33">
        <v>8.68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F9891-A3A2-4D97-A9F6-E371EBE9311C}">
  <dimension ref="A3:E9"/>
  <sheetViews>
    <sheetView workbookViewId="0">
      <selection activeCell="E3" sqref="E3"/>
    </sheetView>
  </sheetViews>
  <sheetFormatPr defaultRowHeight="14.4" x14ac:dyDescent="0.3"/>
  <cols>
    <col min="1" max="1" width="12.5546875" bestFit="1" customWidth="1"/>
    <col min="2" max="2" width="23.88671875" bestFit="1" customWidth="1"/>
    <col min="3" max="3" width="24.77734375" bestFit="1" customWidth="1"/>
    <col min="4" max="4" width="21.33203125" bestFit="1" customWidth="1"/>
    <col min="5" max="5" width="23" bestFit="1" customWidth="1"/>
  </cols>
  <sheetData>
    <row r="3" spans="1:5" x14ac:dyDescent="0.3">
      <c r="A3" s="11" t="s">
        <v>26</v>
      </c>
      <c r="B3" t="s">
        <v>40</v>
      </c>
      <c r="C3" t="s">
        <v>41</v>
      </c>
      <c r="D3" t="s">
        <v>42</v>
      </c>
      <c r="E3" t="s">
        <v>43</v>
      </c>
    </row>
    <row r="4" spans="1:5" x14ac:dyDescent="0.3">
      <c r="A4" s="12" t="s">
        <v>6</v>
      </c>
      <c r="B4" s="33">
        <v>1.68</v>
      </c>
      <c r="C4" s="33">
        <v>4.49</v>
      </c>
      <c r="D4" s="33">
        <v>5.05</v>
      </c>
      <c r="E4" s="33">
        <v>1.82</v>
      </c>
    </row>
    <row r="5" spans="1:5" x14ac:dyDescent="0.3">
      <c r="A5" s="12" t="s">
        <v>5</v>
      </c>
      <c r="B5" s="33">
        <v>1.94</v>
      </c>
      <c r="C5" s="33">
        <v>4.95</v>
      </c>
      <c r="D5" s="33">
        <v>5.23</v>
      </c>
      <c r="E5" s="33">
        <v>2.08</v>
      </c>
    </row>
    <row r="6" spans="1:5" x14ac:dyDescent="0.3">
      <c r="A6" s="12" t="s">
        <v>4</v>
      </c>
      <c r="B6" s="33">
        <v>2.2999999999999998</v>
      </c>
      <c r="C6" s="33">
        <v>5.56</v>
      </c>
      <c r="D6" s="33">
        <v>4.83</v>
      </c>
      <c r="E6" s="33">
        <v>2.5499999999999998</v>
      </c>
    </row>
    <row r="7" spans="1:5" x14ac:dyDescent="0.3">
      <c r="A7" s="12" t="s">
        <v>3</v>
      </c>
      <c r="B7" s="33">
        <v>2.5299999999999998</v>
      </c>
      <c r="C7" s="33">
        <v>5.62</v>
      </c>
      <c r="D7" s="33">
        <v>4.55</v>
      </c>
      <c r="E7" s="33">
        <v>2.81</v>
      </c>
    </row>
    <row r="8" spans="1:5" x14ac:dyDescent="0.3">
      <c r="A8" s="12" t="s">
        <v>2</v>
      </c>
      <c r="B8" s="33">
        <v>2.63</v>
      </c>
      <c r="C8" s="33">
        <v>5.59</v>
      </c>
      <c r="D8" s="33">
        <v>4.3899999999999997</v>
      </c>
      <c r="E8" s="33">
        <v>2.84</v>
      </c>
    </row>
    <row r="9" spans="1:5" x14ac:dyDescent="0.3">
      <c r="A9" s="12" t="s">
        <v>27</v>
      </c>
      <c r="B9" s="33">
        <v>11.079999999999998</v>
      </c>
      <c r="C9" s="33">
        <v>26.21</v>
      </c>
      <c r="D9" s="33">
        <v>24.05</v>
      </c>
      <c r="E9" s="33">
        <v>12.1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17B52-ACF5-42A1-AC98-F6E963C38036}">
  <dimension ref="A1"/>
  <sheetViews>
    <sheetView tabSelected="1" topLeftCell="A3" zoomScale="60" zoomScaleNormal="55" workbookViewId="0">
      <selection activeCell="AF16" sqref="AF16"/>
    </sheetView>
  </sheetViews>
  <sheetFormatPr defaultRowHeight="14.4" x14ac:dyDescent="0.3"/>
  <cols>
    <col min="1" max="16384" width="8.88671875" style="3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9C188-9294-41DA-AE82-F467A6023583}">
  <dimension ref="A3:G9"/>
  <sheetViews>
    <sheetView workbookViewId="0">
      <selection activeCell="S22" sqref="S22"/>
    </sheetView>
  </sheetViews>
  <sheetFormatPr defaultRowHeight="14.4" x14ac:dyDescent="0.3"/>
  <cols>
    <col min="1" max="1" width="12.5546875" bestFit="1" customWidth="1"/>
    <col min="2" max="2" width="7.77734375" bestFit="1" customWidth="1"/>
    <col min="3" max="3" width="6.5546875" bestFit="1" customWidth="1"/>
    <col min="4" max="4" width="7.21875" bestFit="1" customWidth="1"/>
    <col min="5" max="5" width="7.33203125" bestFit="1" customWidth="1"/>
    <col min="6" max="7" width="7" bestFit="1" customWidth="1"/>
  </cols>
  <sheetData>
    <row r="3" spans="1:7" x14ac:dyDescent="0.3">
      <c r="A3" s="11" t="s">
        <v>26</v>
      </c>
      <c r="B3" t="s">
        <v>28</v>
      </c>
      <c r="C3" t="s">
        <v>29</v>
      </c>
      <c r="D3" t="s">
        <v>30</v>
      </c>
      <c r="E3" t="s">
        <v>31</v>
      </c>
      <c r="F3" t="s">
        <v>32</v>
      </c>
      <c r="G3" t="s">
        <v>33</v>
      </c>
    </row>
    <row r="4" spans="1:7" x14ac:dyDescent="0.3">
      <c r="A4" s="12" t="s">
        <v>6</v>
      </c>
      <c r="B4" s="33">
        <v>32.72</v>
      </c>
      <c r="C4" s="33">
        <v>30.48</v>
      </c>
      <c r="D4" s="33">
        <v>32.33</v>
      </c>
      <c r="E4" s="33">
        <v>22.77</v>
      </c>
      <c r="F4" s="33">
        <v>51.76</v>
      </c>
      <c r="G4" s="33">
        <v>42.02</v>
      </c>
    </row>
    <row r="5" spans="1:7" x14ac:dyDescent="0.3">
      <c r="A5" s="12" t="s">
        <v>5</v>
      </c>
      <c r="B5" s="33">
        <v>33.51</v>
      </c>
      <c r="C5" s="33">
        <v>31.31</v>
      </c>
      <c r="D5" s="33">
        <v>33.21</v>
      </c>
      <c r="E5" s="33">
        <v>23.82</v>
      </c>
      <c r="F5" s="33">
        <v>61.22</v>
      </c>
      <c r="G5" s="33">
        <v>50.76</v>
      </c>
    </row>
    <row r="6" spans="1:7" x14ac:dyDescent="0.3">
      <c r="A6" s="12" t="s">
        <v>4</v>
      </c>
      <c r="B6" s="33">
        <v>29.59</v>
      </c>
      <c r="C6" s="33">
        <v>27.52</v>
      </c>
      <c r="D6" s="33">
        <v>29.22</v>
      </c>
      <c r="E6" s="33">
        <v>20.54</v>
      </c>
      <c r="F6" s="33">
        <v>63.59</v>
      </c>
      <c r="G6" s="33">
        <v>51.8</v>
      </c>
    </row>
    <row r="7" spans="1:7" x14ac:dyDescent="0.3">
      <c r="A7" s="12" t="s">
        <v>3</v>
      </c>
      <c r="B7" s="33">
        <v>30.72</v>
      </c>
      <c r="C7" s="33">
        <v>28.8</v>
      </c>
      <c r="D7" s="33">
        <v>30.39</v>
      </c>
      <c r="E7" s="33">
        <v>21.53</v>
      </c>
      <c r="F7" s="33">
        <v>72.959999999999994</v>
      </c>
      <c r="G7" s="33">
        <v>59.6</v>
      </c>
    </row>
    <row r="8" spans="1:7" x14ac:dyDescent="0.3">
      <c r="A8" s="12" t="s">
        <v>2</v>
      </c>
      <c r="B8" s="33">
        <v>31.45</v>
      </c>
      <c r="C8" s="33">
        <v>29.49</v>
      </c>
      <c r="D8" s="33">
        <v>31.12</v>
      </c>
      <c r="E8" s="33">
        <v>22.37</v>
      </c>
      <c r="F8" s="33">
        <v>78.06</v>
      </c>
      <c r="G8" s="33">
        <v>65.56</v>
      </c>
    </row>
    <row r="9" spans="1:7" x14ac:dyDescent="0.3">
      <c r="A9" s="12" t="s">
        <v>27</v>
      </c>
      <c r="B9" s="33">
        <v>157.98999999999998</v>
      </c>
      <c r="C9" s="33">
        <v>147.6</v>
      </c>
      <c r="D9" s="33">
        <v>156.26999999999998</v>
      </c>
      <c r="E9" s="33">
        <v>111.03</v>
      </c>
      <c r="F9" s="33">
        <v>327.58999999999997</v>
      </c>
      <c r="G9" s="33">
        <v>269.74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4E3D4-B827-40C1-A1F9-9EB3F107DC6A}">
  <dimension ref="A1:O7"/>
  <sheetViews>
    <sheetView workbookViewId="0">
      <selection activeCell="E13" sqref="E13"/>
    </sheetView>
  </sheetViews>
  <sheetFormatPr defaultRowHeight="14.4" x14ac:dyDescent="0.3"/>
  <cols>
    <col min="5" max="5" width="10" customWidth="1"/>
  </cols>
  <sheetData>
    <row r="1" spans="1:15" x14ac:dyDescent="0.3">
      <c r="A1" s="1"/>
      <c r="B1" s="31" t="s">
        <v>7</v>
      </c>
      <c r="C1" s="31"/>
      <c r="D1" s="31"/>
      <c r="E1" s="5" t="s">
        <v>11</v>
      </c>
      <c r="F1" s="31" t="s">
        <v>13</v>
      </c>
      <c r="G1" s="31"/>
      <c r="H1" s="31"/>
      <c r="I1" s="31"/>
      <c r="J1" s="31" t="s">
        <v>18</v>
      </c>
      <c r="K1" s="31"/>
      <c r="L1" s="31"/>
      <c r="M1" s="31"/>
      <c r="N1" s="31"/>
      <c r="O1" s="31"/>
    </row>
    <row r="2" spans="1:15" x14ac:dyDescent="0.3">
      <c r="A2" s="2" t="s">
        <v>25</v>
      </c>
      <c r="B2" t="s">
        <v>8</v>
      </c>
      <c r="C2" t="s">
        <v>9</v>
      </c>
      <c r="D2" t="s">
        <v>10</v>
      </c>
      <c r="E2" t="s">
        <v>12</v>
      </c>
      <c r="F2" t="s">
        <v>14</v>
      </c>
      <c r="G2" t="s">
        <v>15</v>
      </c>
      <c r="H2" t="s">
        <v>16</v>
      </c>
      <c r="I2" t="s">
        <v>17</v>
      </c>
      <c r="J2" t="s">
        <v>19</v>
      </c>
      <c r="K2" t="s">
        <v>20</v>
      </c>
      <c r="L2" t="s">
        <v>21</v>
      </c>
      <c r="M2" t="s">
        <v>22</v>
      </c>
      <c r="N2" t="s">
        <v>23</v>
      </c>
      <c r="O2" t="s">
        <v>24</v>
      </c>
    </row>
    <row r="3" spans="1:15" ht="15" thickBot="1" x14ac:dyDescent="0.35">
      <c r="A3" s="3" t="s">
        <v>2</v>
      </c>
      <c r="B3">
        <v>0.09</v>
      </c>
      <c r="C3">
        <v>0.08</v>
      </c>
      <c r="D3">
        <v>90.12</v>
      </c>
      <c r="E3">
        <v>1.55</v>
      </c>
      <c r="F3">
        <v>5.59</v>
      </c>
      <c r="G3" s="6">
        <v>2.84</v>
      </c>
      <c r="H3">
        <v>4.3899999999999997</v>
      </c>
      <c r="I3">
        <v>2.63</v>
      </c>
      <c r="J3">
        <v>31.45</v>
      </c>
      <c r="K3">
        <v>29.49</v>
      </c>
      <c r="L3">
        <v>31.12</v>
      </c>
      <c r="M3">
        <v>22.37</v>
      </c>
      <c r="N3">
        <v>78.06</v>
      </c>
      <c r="O3">
        <v>65.56</v>
      </c>
    </row>
    <row r="4" spans="1:15" ht="15" thickBot="1" x14ac:dyDescent="0.35">
      <c r="A4" s="3" t="s">
        <v>3</v>
      </c>
      <c r="B4">
        <v>0.08</v>
      </c>
      <c r="C4">
        <v>7.0000000000000007E-2</v>
      </c>
      <c r="D4">
        <v>86.59</v>
      </c>
      <c r="E4">
        <v>1.52</v>
      </c>
      <c r="F4">
        <v>5.62</v>
      </c>
      <c r="G4" s="6">
        <v>2.81</v>
      </c>
      <c r="H4">
        <v>4.55</v>
      </c>
      <c r="I4">
        <v>2.5299999999999998</v>
      </c>
      <c r="J4">
        <v>30.72</v>
      </c>
      <c r="K4">
        <v>28.8</v>
      </c>
      <c r="L4">
        <v>30.39</v>
      </c>
      <c r="M4">
        <v>21.53</v>
      </c>
      <c r="N4">
        <v>72.959999999999994</v>
      </c>
      <c r="O4">
        <v>59.6</v>
      </c>
    </row>
    <row r="5" spans="1:15" ht="15" thickBot="1" x14ac:dyDescent="0.35">
      <c r="A5" s="3" t="s">
        <v>4</v>
      </c>
      <c r="B5">
        <v>0.08</v>
      </c>
      <c r="C5">
        <v>0.06</v>
      </c>
      <c r="D5">
        <v>75.37</v>
      </c>
      <c r="E5">
        <v>1.63</v>
      </c>
      <c r="F5">
        <v>5.56</v>
      </c>
      <c r="G5" s="6">
        <v>2.5499999999999998</v>
      </c>
      <c r="H5">
        <v>4.83</v>
      </c>
      <c r="I5">
        <v>2.2999999999999998</v>
      </c>
      <c r="J5">
        <v>29.59</v>
      </c>
      <c r="K5">
        <v>27.52</v>
      </c>
      <c r="L5">
        <v>29.22</v>
      </c>
      <c r="M5">
        <v>20.54</v>
      </c>
      <c r="N5">
        <v>63.59</v>
      </c>
      <c r="O5">
        <v>51.8</v>
      </c>
    </row>
    <row r="6" spans="1:15" ht="15" thickBot="1" x14ac:dyDescent="0.35">
      <c r="A6" s="3" t="s">
        <v>5</v>
      </c>
      <c r="B6">
        <v>0.08</v>
      </c>
      <c r="C6">
        <v>7.0000000000000007E-2</v>
      </c>
      <c r="D6">
        <v>103.31</v>
      </c>
      <c r="E6">
        <v>1.87</v>
      </c>
      <c r="F6">
        <v>4.95</v>
      </c>
      <c r="G6" s="6">
        <v>2.08</v>
      </c>
      <c r="H6">
        <v>5.23</v>
      </c>
      <c r="I6">
        <v>1.94</v>
      </c>
      <c r="J6">
        <v>33.51</v>
      </c>
      <c r="K6">
        <v>31.31</v>
      </c>
      <c r="L6">
        <v>33.21</v>
      </c>
      <c r="M6">
        <v>23.82</v>
      </c>
      <c r="N6">
        <v>61.22</v>
      </c>
      <c r="O6">
        <v>50.76</v>
      </c>
    </row>
    <row r="7" spans="1:15" ht="15" thickBot="1" x14ac:dyDescent="0.35">
      <c r="A7" s="3" t="s">
        <v>6</v>
      </c>
      <c r="B7">
        <v>0.08</v>
      </c>
      <c r="C7">
        <v>7.0000000000000007E-2</v>
      </c>
      <c r="D7">
        <v>77.17</v>
      </c>
      <c r="E7">
        <v>2.11</v>
      </c>
      <c r="F7">
        <v>4.49</v>
      </c>
      <c r="G7" s="6">
        <v>1.82</v>
      </c>
      <c r="H7">
        <v>5.05</v>
      </c>
      <c r="I7">
        <v>1.68</v>
      </c>
      <c r="J7">
        <v>32.72</v>
      </c>
      <c r="K7">
        <v>30.48</v>
      </c>
      <c r="L7">
        <v>32.33</v>
      </c>
      <c r="M7">
        <v>22.77</v>
      </c>
      <c r="N7">
        <v>51.76</v>
      </c>
      <c r="O7">
        <v>42.02</v>
      </c>
    </row>
  </sheetData>
  <mergeCells count="3">
    <mergeCell ref="B1:D1"/>
    <mergeCell ref="F1:I1"/>
    <mergeCell ref="J1:O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F3C1C-9BE3-4072-BC18-2AB7620A65DD}">
  <dimension ref="A3:G9"/>
  <sheetViews>
    <sheetView workbookViewId="0">
      <selection activeCell="G3" sqref="G3"/>
    </sheetView>
  </sheetViews>
  <sheetFormatPr defaultRowHeight="14.4" x14ac:dyDescent="0.3"/>
  <cols>
    <col min="1" max="1" width="12.5546875" bestFit="1" customWidth="1"/>
    <col min="2" max="2" width="12.33203125" bestFit="1" customWidth="1"/>
    <col min="3" max="3" width="13.21875" bestFit="1" customWidth="1"/>
    <col min="4" max="4" width="14.21875" bestFit="1" customWidth="1"/>
    <col min="5" max="5" width="15.77734375" bestFit="1" customWidth="1"/>
    <col min="6" max="6" width="16.88671875" bestFit="1" customWidth="1"/>
    <col min="7" max="7" width="7.88671875" bestFit="1" customWidth="1"/>
  </cols>
  <sheetData>
    <row r="3" spans="1:7" x14ac:dyDescent="0.3">
      <c r="A3" s="11" t="s">
        <v>26</v>
      </c>
      <c r="B3" t="s">
        <v>48</v>
      </c>
      <c r="C3" t="s">
        <v>49</v>
      </c>
      <c r="D3" t="s">
        <v>50</v>
      </c>
      <c r="E3" t="s">
        <v>51</v>
      </c>
      <c r="F3" t="s">
        <v>52</v>
      </c>
      <c r="G3" t="s">
        <v>53</v>
      </c>
    </row>
    <row r="4" spans="1:7" x14ac:dyDescent="0.3">
      <c r="A4" s="12" t="s">
        <v>6</v>
      </c>
      <c r="B4">
        <v>0.76</v>
      </c>
      <c r="C4">
        <v>0.99</v>
      </c>
      <c r="D4">
        <v>0.3</v>
      </c>
      <c r="E4">
        <v>1.68</v>
      </c>
      <c r="F4">
        <v>1.1000000000000001</v>
      </c>
      <c r="G4">
        <v>0.42</v>
      </c>
    </row>
    <row r="5" spans="1:7" x14ac:dyDescent="0.3">
      <c r="A5" s="12" t="s">
        <v>5</v>
      </c>
      <c r="B5">
        <v>0.77</v>
      </c>
      <c r="C5">
        <v>0.99</v>
      </c>
      <c r="D5">
        <v>0.31</v>
      </c>
      <c r="E5">
        <v>1.94</v>
      </c>
      <c r="F5">
        <v>1.1000000000000001</v>
      </c>
      <c r="G5">
        <v>0.51</v>
      </c>
    </row>
    <row r="6" spans="1:7" x14ac:dyDescent="0.3">
      <c r="A6" s="12" t="s">
        <v>4</v>
      </c>
      <c r="B6">
        <v>0.76</v>
      </c>
      <c r="C6">
        <v>0.99</v>
      </c>
      <c r="D6">
        <v>0.28000000000000003</v>
      </c>
      <c r="E6">
        <v>2.2999999999999998</v>
      </c>
      <c r="F6">
        <v>1.1000000000000001</v>
      </c>
      <c r="G6">
        <v>0.52</v>
      </c>
    </row>
    <row r="7" spans="1:7" x14ac:dyDescent="0.3">
      <c r="A7" s="12" t="s">
        <v>3</v>
      </c>
      <c r="B7">
        <v>0.76</v>
      </c>
      <c r="C7">
        <v>0.99</v>
      </c>
      <c r="D7">
        <v>0.28999999999999998</v>
      </c>
      <c r="E7">
        <v>2.5299999999999998</v>
      </c>
      <c r="F7">
        <v>1.1000000000000001</v>
      </c>
      <c r="G7">
        <v>0.6</v>
      </c>
    </row>
    <row r="8" spans="1:7" x14ac:dyDescent="0.3">
      <c r="A8" s="12" t="s">
        <v>2</v>
      </c>
      <c r="B8">
        <v>0.77</v>
      </c>
      <c r="C8">
        <v>0.99</v>
      </c>
      <c r="D8">
        <v>0.28999999999999998</v>
      </c>
      <c r="E8">
        <v>2.63</v>
      </c>
      <c r="F8">
        <v>1.1100000000000001</v>
      </c>
      <c r="G8">
        <v>0.66</v>
      </c>
    </row>
    <row r="9" spans="1:7" x14ac:dyDescent="0.3">
      <c r="A9" s="12" t="s">
        <v>27</v>
      </c>
      <c r="B9">
        <v>3.82</v>
      </c>
      <c r="C9">
        <v>4.95</v>
      </c>
      <c r="D9">
        <v>1.47</v>
      </c>
      <c r="E9">
        <v>11.079999999999998</v>
      </c>
      <c r="F9">
        <v>5.5100000000000007</v>
      </c>
      <c r="G9">
        <v>2.71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1BEC-0C04-4EB9-8F55-75D20A61B82F}">
  <dimension ref="A1:G15"/>
  <sheetViews>
    <sheetView workbookViewId="0">
      <selection activeCell="I22" sqref="I22"/>
    </sheetView>
  </sheetViews>
  <sheetFormatPr defaultRowHeight="14.4" x14ac:dyDescent="0.3"/>
  <cols>
    <col min="1" max="1" width="15" customWidth="1"/>
    <col min="2" max="3" width="13.109375" customWidth="1"/>
    <col min="4" max="4" width="13" customWidth="1"/>
    <col min="5" max="5" width="13.88671875" customWidth="1"/>
    <col min="6" max="6" width="16.6640625" customWidth="1"/>
  </cols>
  <sheetData>
    <row r="1" spans="1:7" x14ac:dyDescent="0.3">
      <c r="A1" s="16" t="s">
        <v>25</v>
      </c>
      <c r="B1" s="17" t="s">
        <v>2</v>
      </c>
      <c r="C1" s="17" t="s">
        <v>3</v>
      </c>
      <c r="D1" s="17" t="s">
        <v>4</v>
      </c>
      <c r="E1" s="17" t="s">
        <v>5</v>
      </c>
      <c r="F1" s="18" t="s">
        <v>6</v>
      </c>
    </row>
    <row r="2" spans="1:7" x14ac:dyDescent="0.3">
      <c r="A2" s="19" t="s">
        <v>34</v>
      </c>
      <c r="B2" s="20">
        <v>0.77</v>
      </c>
      <c r="C2" s="20">
        <v>0.76</v>
      </c>
      <c r="D2" s="20">
        <v>0.76</v>
      </c>
      <c r="E2" s="20">
        <v>0.77</v>
      </c>
      <c r="F2" s="21">
        <v>0.76</v>
      </c>
    </row>
    <row r="3" spans="1:7" x14ac:dyDescent="0.3">
      <c r="A3" s="22" t="s">
        <v>35</v>
      </c>
      <c r="B3" s="23">
        <v>0.99</v>
      </c>
      <c r="C3" s="23">
        <v>0.99</v>
      </c>
      <c r="D3" s="23">
        <v>0.99</v>
      </c>
      <c r="E3" s="23">
        <v>0.99</v>
      </c>
      <c r="F3" s="24">
        <v>0.99</v>
      </c>
    </row>
    <row r="4" spans="1:7" x14ac:dyDescent="0.3">
      <c r="A4" s="19" t="s">
        <v>36</v>
      </c>
      <c r="B4" s="20">
        <v>0.28999999999999998</v>
      </c>
      <c r="C4" s="20">
        <v>0.28999999999999998</v>
      </c>
      <c r="D4" s="20">
        <v>0.28000000000000003</v>
      </c>
      <c r="E4" s="20">
        <v>0.31</v>
      </c>
      <c r="F4" s="21">
        <v>0.3</v>
      </c>
    </row>
    <row r="5" spans="1:7" x14ac:dyDescent="0.3">
      <c r="A5" s="22" t="s">
        <v>37</v>
      </c>
      <c r="B5" s="23">
        <v>2.63</v>
      </c>
      <c r="C5" s="23">
        <v>2.5299999999999998</v>
      </c>
      <c r="D5" s="23">
        <v>2.2999999999999998</v>
      </c>
      <c r="E5" s="23">
        <v>1.94</v>
      </c>
      <c r="F5" s="24">
        <v>1.68</v>
      </c>
    </row>
    <row r="6" spans="1:7" x14ac:dyDescent="0.3">
      <c r="A6" s="19" t="s">
        <v>38</v>
      </c>
      <c r="B6" s="20">
        <v>1.1100000000000001</v>
      </c>
      <c r="C6" s="20">
        <v>1.1000000000000001</v>
      </c>
      <c r="D6" s="20">
        <v>1.1000000000000001</v>
      </c>
      <c r="E6" s="20">
        <v>1.1000000000000001</v>
      </c>
      <c r="F6" s="21">
        <v>1.1000000000000001</v>
      </c>
    </row>
    <row r="7" spans="1:7" x14ac:dyDescent="0.3">
      <c r="A7" s="7" t="s">
        <v>39</v>
      </c>
      <c r="B7" s="8">
        <v>0.66</v>
      </c>
      <c r="C7" s="8">
        <v>0.6</v>
      </c>
      <c r="D7" s="8">
        <v>0.52</v>
      </c>
      <c r="E7" s="8">
        <v>0.51</v>
      </c>
      <c r="F7" s="9">
        <v>0.42</v>
      </c>
    </row>
    <row r="10" spans="1:7" x14ac:dyDescent="0.3">
      <c r="A10" s="16" t="s">
        <v>25</v>
      </c>
      <c r="B10" s="19" t="s">
        <v>34</v>
      </c>
      <c r="C10" s="22" t="s">
        <v>35</v>
      </c>
      <c r="D10" s="19" t="s">
        <v>36</v>
      </c>
      <c r="E10" s="22" t="s">
        <v>37</v>
      </c>
      <c r="F10" s="19" t="s">
        <v>38</v>
      </c>
      <c r="G10" s="7" t="s">
        <v>39</v>
      </c>
    </row>
    <row r="11" spans="1:7" x14ac:dyDescent="0.3">
      <c r="A11" s="17" t="s">
        <v>2</v>
      </c>
      <c r="B11" s="25">
        <v>0.77</v>
      </c>
      <c r="C11" s="26">
        <v>0.99</v>
      </c>
      <c r="D11" s="25">
        <v>0.28999999999999998</v>
      </c>
      <c r="E11" s="26">
        <v>2.63</v>
      </c>
      <c r="F11" s="25">
        <v>1.1100000000000001</v>
      </c>
      <c r="G11" s="27">
        <v>0.66</v>
      </c>
    </row>
    <row r="12" spans="1:7" x14ac:dyDescent="0.3">
      <c r="A12" s="17" t="s">
        <v>3</v>
      </c>
      <c r="B12" s="25">
        <v>0.76</v>
      </c>
      <c r="C12" s="26">
        <v>0.99</v>
      </c>
      <c r="D12" s="25">
        <v>0.28999999999999998</v>
      </c>
      <c r="E12" s="26">
        <v>2.5299999999999998</v>
      </c>
      <c r="F12" s="25">
        <v>1.1000000000000001</v>
      </c>
      <c r="G12" s="27">
        <v>0.6</v>
      </c>
    </row>
    <row r="13" spans="1:7" x14ac:dyDescent="0.3">
      <c r="A13" s="17" t="s">
        <v>4</v>
      </c>
      <c r="B13" s="25">
        <v>0.76</v>
      </c>
      <c r="C13" s="26">
        <v>0.99</v>
      </c>
      <c r="D13" s="25">
        <v>0.28000000000000003</v>
      </c>
      <c r="E13" s="26">
        <v>2.2999999999999998</v>
      </c>
      <c r="F13" s="25">
        <v>1.1000000000000001</v>
      </c>
      <c r="G13" s="27">
        <v>0.52</v>
      </c>
    </row>
    <row r="14" spans="1:7" x14ac:dyDescent="0.3">
      <c r="A14" s="17" t="s">
        <v>5</v>
      </c>
      <c r="B14" s="25">
        <v>0.77</v>
      </c>
      <c r="C14" s="26">
        <v>0.99</v>
      </c>
      <c r="D14" s="25">
        <v>0.31</v>
      </c>
      <c r="E14" s="26">
        <v>1.94</v>
      </c>
      <c r="F14" s="25">
        <v>1.1000000000000001</v>
      </c>
      <c r="G14" s="27">
        <v>0.51</v>
      </c>
    </row>
    <row r="15" spans="1:7" x14ac:dyDescent="0.3">
      <c r="A15" s="18" t="s">
        <v>6</v>
      </c>
      <c r="B15" s="28">
        <v>0.76</v>
      </c>
      <c r="C15" s="29">
        <v>0.99</v>
      </c>
      <c r="D15" s="28">
        <v>0.3</v>
      </c>
      <c r="E15" s="29">
        <v>1.68</v>
      </c>
      <c r="F15" s="28">
        <v>1.1000000000000001</v>
      </c>
      <c r="G15" s="30">
        <v>0.42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1E1DC-5DA7-48A6-B98F-FA760C2EB4BA}">
  <dimension ref="A1"/>
  <sheetViews>
    <sheetView workbookViewId="0">
      <selection activeCell="A6" sqref="A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C257D8-F97E-4D65-90E1-60B89F2218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Solvency ratio</vt:lpstr>
      <vt:lpstr>Liquidity ratio</vt:lpstr>
      <vt:lpstr>Efficiency ratio</vt:lpstr>
      <vt:lpstr>Dashboard</vt:lpstr>
      <vt:lpstr>Profitability ratio</vt:lpstr>
      <vt:lpstr>Clean Data </vt:lpstr>
      <vt:lpstr>Dupont ratio</vt:lpstr>
      <vt:lpstr>Dupont</vt:lpstr>
      <vt:lpstr>Dupont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Eshan Yadav</dc:creator>
  <cp:lastModifiedBy>Eshan Yadav</cp:lastModifiedBy>
  <dcterms:created xsi:type="dcterms:W3CDTF">2025-09-08T18:21:23Z</dcterms:created>
  <dcterms:modified xsi:type="dcterms:W3CDTF">2025-09-12T09:46:17Z</dcterms:modified>
</cp:coreProperties>
</file>